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4"/>
    <sheet state="visible" name="Dashboard" sheetId="2" r:id="rId5"/>
    <sheet state="visible" name="Report" sheetId="3" r:id="rId6"/>
  </sheets>
  <definedNames>
    <definedName hidden="1" localSheetId="0" name="_xlnm._FilterDatabase">Transactions!$A$1:$G$150</definedName>
  </definedNames>
  <calcPr/>
  <extLst>
    <ext uri="GoogleSheetsCustomDataVersion2">
      <go:sheetsCustomData xmlns:go="http://customooxmlschemas.google.com/" r:id="rId7" roundtripDataChecksum="mGU0XHMlvKoMDm3FktLJqg2DzCZC2cFkfPABllHuH6U="/>
    </ext>
  </extLst>
</workbook>
</file>

<file path=xl/sharedStrings.xml><?xml version="1.0" encoding="utf-8"?>
<sst xmlns="http://schemas.openxmlformats.org/spreadsheetml/2006/main" count="840" uniqueCount="168">
  <si>
    <t>Date</t>
  </si>
  <si>
    <t>Type</t>
  </si>
  <si>
    <t>Category</t>
  </si>
  <si>
    <t>Description</t>
  </si>
  <si>
    <t>Amount</t>
  </si>
  <si>
    <t>Payment Method</t>
  </si>
  <si>
    <t>Notes</t>
  </si>
  <si>
    <t>Income</t>
  </si>
  <si>
    <t>Salary</t>
  </si>
  <si>
    <t>GIRO</t>
  </si>
  <si>
    <t>Expense</t>
  </si>
  <si>
    <t>Subscription</t>
  </si>
  <si>
    <t>Prime</t>
  </si>
  <si>
    <t>Credit Card</t>
  </si>
  <si>
    <t>Citi Cash+</t>
  </si>
  <si>
    <t>Shopping</t>
  </si>
  <si>
    <t>Shoppee</t>
  </si>
  <si>
    <t>Tiktok</t>
  </si>
  <si>
    <t>Citi Rewards</t>
  </si>
  <si>
    <t>Food</t>
  </si>
  <si>
    <t>Chicken Rice</t>
  </si>
  <si>
    <t>Transport</t>
  </si>
  <si>
    <t>Bus</t>
  </si>
  <si>
    <t>Amazon Cookie</t>
  </si>
  <si>
    <t>iCloud</t>
  </si>
  <si>
    <t>Grocery</t>
  </si>
  <si>
    <t>Fairprice</t>
  </si>
  <si>
    <t>Entertainment</t>
  </si>
  <si>
    <t>Pokemon Card</t>
  </si>
  <si>
    <t>Spotify</t>
  </si>
  <si>
    <t>Debit Card</t>
  </si>
  <si>
    <t>DBS</t>
  </si>
  <si>
    <t>Wokhey</t>
  </si>
  <si>
    <t>Yuu</t>
  </si>
  <si>
    <t>Popeye</t>
  </si>
  <si>
    <t>Gift</t>
  </si>
  <si>
    <t>Tamil New Year</t>
  </si>
  <si>
    <t>Cash</t>
  </si>
  <si>
    <t>Misc</t>
  </si>
  <si>
    <t>Dental Refund</t>
  </si>
  <si>
    <t>Subway</t>
  </si>
  <si>
    <t>Siew Mai</t>
  </si>
  <si>
    <t>Stuffd</t>
  </si>
  <si>
    <t>Donation</t>
  </si>
  <si>
    <t>Youtube</t>
  </si>
  <si>
    <t>AVG Antivirus</t>
  </si>
  <si>
    <t>Mcd</t>
  </si>
  <si>
    <t>Flexi</t>
  </si>
  <si>
    <t>Citi</t>
  </si>
  <si>
    <t>Gomo</t>
  </si>
  <si>
    <t>Lunch with Team</t>
  </si>
  <si>
    <t>Nsfit</t>
  </si>
  <si>
    <t>Other Income</t>
  </si>
  <si>
    <t>CRWV stock profit</t>
  </si>
  <si>
    <t>Parking</t>
  </si>
  <si>
    <t>Citi Cafe</t>
  </si>
  <si>
    <t>Andes</t>
  </si>
  <si>
    <t>Arenaclub Pokemon Slab</t>
  </si>
  <si>
    <t>Anytime Fitness</t>
  </si>
  <si>
    <t>DTF + Movie</t>
  </si>
  <si>
    <t>Claude</t>
  </si>
  <si>
    <t>Drinks</t>
  </si>
  <si>
    <t>Breadtalk</t>
  </si>
  <si>
    <t>BK</t>
  </si>
  <si>
    <t>Hetzener VPS</t>
  </si>
  <si>
    <t>Newspaper</t>
  </si>
  <si>
    <t>Movie</t>
  </si>
  <si>
    <t>Car Wash</t>
  </si>
  <si>
    <t>Tea</t>
  </si>
  <si>
    <t>Bills</t>
  </si>
  <si>
    <t>Tax</t>
  </si>
  <si>
    <t>Grab Taxi</t>
  </si>
  <si>
    <t>Arena Sales</t>
  </si>
  <si>
    <t>Shopify</t>
  </si>
  <si>
    <t>ChatGPT</t>
  </si>
  <si>
    <t>NTUC membership</t>
  </si>
  <si>
    <t>Popcorn</t>
  </si>
  <si>
    <t>Burger King</t>
  </si>
  <si>
    <t>Nasal Strip</t>
  </si>
  <si>
    <t>AF Refund</t>
  </si>
  <si>
    <t>Bali Thai Mother's day</t>
  </si>
  <si>
    <t>Mother's day flowers</t>
  </si>
  <si>
    <t>4 Fingers</t>
  </si>
  <si>
    <t>Briyani</t>
  </si>
  <si>
    <t>Toto</t>
  </si>
  <si>
    <t>Netflix</t>
  </si>
  <si>
    <t>Travel</t>
  </si>
  <si>
    <t>SGD to MYR</t>
  </si>
  <si>
    <t>Mixed Rice</t>
  </si>
  <si>
    <t>MRT</t>
  </si>
  <si>
    <t>Koufu</t>
  </si>
  <si>
    <t>Mustafa</t>
  </si>
  <si>
    <t>KL Express train</t>
  </si>
  <si>
    <t>Boost</t>
  </si>
  <si>
    <t>Keychain</t>
  </si>
  <si>
    <t>KL Shopping</t>
  </si>
  <si>
    <t>KL Coffee</t>
  </si>
  <si>
    <t>KL Sushiro</t>
  </si>
  <si>
    <t>KL Grand Hyatt Deposit</t>
  </si>
  <si>
    <t>KL Monorail</t>
  </si>
  <si>
    <t>KL Sushi</t>
  </si>
  <si>
    <t>KL Uniqlo</t>
  </si>
  <si>
    <t>KL Bakery</t>
  </si>
  <si>
    <t>KL Grab</t>
  </si>
  <si>
    <t>Refund deposit</t>
  </si>
  <si>
    <t>Drishyam 3 movie</t>
  </si>
  <si>
    <t>Karrupu Movie + Lunch</t>
  </si>
  <si>
    <t>Coffee</t>
  </si>
  <si>
    <t>NSfit</t>
  </si>
  <si>
    <t>Education</t>
  </si>
  <si>
    <t>Tribe Java</t>
  </si>
  <si>
    <t>Lava Cake</t>
  </si>
  <si>
    <t>Family</t>
  </si>
  <si>
    <t>Transfer to Parents</t>
  </si>
  <si>
    <t>Light Bulb</t>
  </si>
  <si>
    <t>Phone Bill</t>
  </si>
  <si>
    <t>Genki</t>
  </si>
  <si>
    <t>Personal Finance Dashboard</t>
  </si>
  <si>
    <t>Auto-syncs from the Transactions tab — all figures in SGD</t>
  </si>
  <si>
    <t>Total Income (This Month)</t>
  </si>
  <si>
    <t>Total Expense (This Month)</t>
  </si>
  <si>
    <t>Net Cashflow (This Month)</t>
  </si>
  <si>
    <t>Biggest Expense Category</t>
  </si>
  <si>
    <t>Avg Daily Spending (This Month)</t>
  </si>
  <si>
    <t>Transactions Logged (This Month)</t>
  </si>
  <si>
    <t>Monthly Trend (Income vs Expense)</t>
  </si>
  <si>
    <t>Month</t>
  </si>
  <si>
    <t>Feb 2026</t>
  </si>
  <si>
    <t>Mar 2026</t>
  </si>
  <si>
    <t>Apr 2026</t>
  </si>
  <si>
    <t>May 2026</t>
  </si>
  <si>
    <t>Jun 2026</t>
  </si>
  <si>
    <t>Jul 2026</t>
  </si>
  <si>
    <t>Expense by Category (All-Time)</t>
  </si>
  <si>
    <t>Health</t>
  </si>
  <si>
    <t>Weekly Spending Trend</t>
  </si>
  <si>
    <t>Week Start</t>
  </si>
  <si>
    <t>Spending</t>
  </si>
  <si>
    <t>Top 5 Expense Categories</t>
  </si>
  <si>
    <t>Rank</t>
  </si>
  <si>
    <t>Financial Report</t>
  </si>
  <si>
    <t>Auto-generated summaries from Transactions</t>
  </si>
  <si>
    <t>1. Monthly Summary</t>
  </si>
  <si>
    <t>Net Savings</t>
  </si>
  <si>
    <t>Savings Rate</t>
  </si>
  <si>
    <t>Total</t>
  </si>
  <si>
    <t>2. Category Spending Breakdown (All-Time)</t>
  </si>
  <si>
    <t>Total Spent</t>
  </si>
  <si>
    <t>% of Expense</t>
  </si>
  <si>
    <t># of Txns</t>
  </si>
  <si>
    <t>Avg per Txn</t>
  </si>
  <si>
    <t>3. Top 10 Largest Expenses</t>
  </si>
  <si>
    <t>4. Subscription Spending Total</t>
  </si>
  <si>
    <t>Metric</t>
  </si>
  <si>
    <t>Value</t>
  </si>
  <si>
    <t>Total spent on Subscriptions (all-time)</t>
  </si>
  <si>
    <t># of Subscription charges</t>
  </si>
  <si>
    <t>Avg Subscription charge</t>
  </si>
  <si>
    <t>Projected annual subscription cost</t>
  </si>
  <si>
    <t>5. Months Where Spending Exceeded Income</t>
  </si>
  <si>
    <t>Overspend</t>
  </si>
  <si>
    <t>Status</t>
  </si>
  <si>
    <t>6. Savings Opportunities (Top 3 Categories)</t>
  </si>
  <si>
    <t>Current Spend</t>
  </si>
  <si>
    <t>Cut 10%</t>
  </si>
  <si>
    <t>Cut 20%</t>
  </si>
  <si>
    <t>Tip: cutting 20% across the top 3 categories above = potential monthly savings below.</t>
  </si>
  <si>
    <t>Estimated monthly 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</si>
</sst>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\-mm\-dd"/>
    <numFmt numFmtId="165" formatCode="&quot;S$&quot;#,##0.00"/>
    <numFmt numFmtId="166" formatCode="&quot;S$&quot;#,##0"/>
    <numFmt numFmtId="167" formatCode="mmm\ dd"/>
    <numFmt numFmtId="168" formatCode="0.0%"/>
  </numFmts>
  <fonts count="1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22.0"/>
      <color rgb="FF1F3A5F"/>
      <name val="Arial"/>
    </font>
    <font>
      <i/>
      <sz val="10.0"/>
      <color rgb="FF7F8C8D"/>
      <name val="Arial"/>
    </font>
    <font>
      <b/>
      <sz val="10.0"/>
      <color rgb="FFFFFFFF"/>
      <name val="Arial"/>
    </font>
    <font/>
    <font>
      <b/>
      <sz val="18.0"/>
      <color rgb="FF1F3A5F"/>
      <name val="Arial"/>
    </font>
    <font>
      <b/>
      <sz val="11.0"/>
      <color rgb="FF1F3A5F"/>
      <name val="Arial"/>
    </font>
    <font>
      <b/>
      <sz val="20.0"/>
      <color rgb="FF1F3A5F"/>
      <name val="Arial"/>
    </font>
    <font>
      <b/>
      <sz val="13.0"/>
      <color rgb="FFFFFFFF"/>
      <name val="Arial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5F7FA"/>
        <bgColor rgb="FFF5F7FA"/>
      </patternFill>
    </fill>
    <fill>
      <patternFill patternType="solid">
        <fgColor rgb="FF2BA84A"/>
        <bgColor rgb="FF2BA84A"/>
      </patternFill>
    </fill>
    <fill>
      <patternFill patternType="solid">
        <fgColor rgb="FFD64545"/>
        <bgColor rgb="FFD64545"/>
      </patternFill>
    </fill>
    <fill>
      <patternFill patternType="solid">
        <fgColor rgb="FF2E86AB"/>
        <bgColor rgb="FF2E86AB"/>
      </patternFill>
    </fill>
    <fill>
      <patternFill patternType="solid">
        <fgColor rgb="FFFFFFFF"/>
        <bgColor rgb="FFFFFFFF"/>
      </patternFill>
    </fill>
    <fill>
      <patternFill patternType="solid">
        <fgColor rgb="FFE8A33D"/>
        <bgColor rgb="FFE8A33D"/>
      </patternFill>
    </fill>
  </fills>
  <borders count="8">
    <border/>
    <border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</border>
    <border>
      <left/>
      <right/>
      <top/>
      <bottom/>
    </border>
    <border>
      <left style="thin">
        <color rgb="FFD5DBDB"/>
      </left>
      <top style="thin">
        <color rgb="FFD5DBDB"/>
      </top>
      <bottom style="thin">
        <color rgb="FFD5DBDB"/>
      </bottom>
    </border>
    <border>
      <right style="thin">
        <color rgb="FFD5DBDB"/>
      </right>
      <top style="thin">
        <color rgb="FFD5DBDB"/>
      </top>
      <bottom style="thin">
        <color rgb="FFD5DBDB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3" fontId="2" numFmtId="164" xfId="0" applyAlignment="1" applyBorder="1" applyFill="1" applyFont="1" applyNumberFormat="1">
      <alignment horizontal="left" readingOrder="0" shrinkToFit="0" vertical="center" wrapText="0"/>
    </xf>
    <xf borderId="2" fillId="3" fontId="2" numFmtId="0" xfId="0" applyAlignment="1" applyBorder="1" applyFont="1">
      <alignment horizontal="left" readingOrder="0" shrinkToFit="0" vertical="center" wrapText="0"/>
    </xf>
    <xf borderId="2" fillId="3" fontId="2" numFmtId="165" xfId="0" applyAlignment="1" applyBorder="1" applyFont="1" applyNumberFormat="1">
      <alignment horizontal="right" readingOrder="0" shrinkToFit="0" vertical="center" wrapText="0"/>
    </xf>
    <xf borderId="2" fillId="3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5" xfId="0" applyAlignment="1" applyFont="1" applyNumberFormat="1">
      <alignment horizontal="righ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readingOrder="0"/>
    </xf>
    <xf borderId="0" fillId="0" fontId="4" numFmtId="165" xfId="0" applyAlignment="1" applyFont="1" applyNumberFormat="1">
      <alignment readingOrder="0" shrinkToFit="0" vertical="bottom" wrapText="0"/>
    </xf>
    <xf borderId="0" fillId="0" fontId="3" numFmtId="0" xfId="0" applyFont="1"/>
    <xf borderId="0" fillId="0" fontId="4" numFmtId="165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3" fillId="4" fontId="7" numFmtId="0" xfId="0" applyAlignment="1" applyBorder="1" applyFill="1" applyFont="1">
      <alignment horizontal="left" shrinkToFit="0" vertical="center" wrapText="0"/>
    </xf>
    <xf borderId="4" fillId="0" fontId="8" numFmtId="0" xfId="0" applyBorder="1" applyFont="1"/>
    <xf borderId="3" fillId="5" fontId="7" numFmtId="0" xfId="0" applyAlignment="1" applyBorder="1" applyFill="1" applyFont="1">
      <alignment horizontal="left" shrinkToFit="0" vertical="center" wrapText="0"/>
    </xf>
    <xf borderId="3" fillId="6" fontId="7" numFmtId="0" xfId="0" applyAlignment="1" applyBorder="1" applyFill="1" applyFont="1">
      <alignment horizontal="left" shrinkToFit="0" vertical="center" wrapText="0"/>
    </xf>
    <xf borderId="3" fillId="7" fontId="9" numFmtId="166" xfId="0" applyAlignment="1" applyBorder="1" applyFill="1" applyFont="1" applyNumberFormat="1">
      <alignment horizontal="left" shrinkToFit="0" vertical="center" wrapText="0"/>
    </xf>
    <xf borderId="3" fillId="8" fontId="7" numFmtId="0" xfId="0" applyAlignment="1" applyBorder="1" applyFill="1" applyFont="1">
      <alignment horizontal="left" shrinkToFit="0" vertical="center" wrapText="0"/>
    </xf>
    <xf borderId="3" fillId="2" fontId="7" numFmtId="0" xfId="0" applyAlignment="1" applyBorder="1" applyFont="1">
      <alignment horizontal="left" shrinkToFit="0" vertical="center" wrapText="0"/>
    </xf>
    <xf borderId="3" fillId="7" fontId="9" numFmtId="0" xfId="0" applyAlignment="1" applyBorder="1" applyFont="1">
      <alignment horizontal="left" shrinkToFit="0" vertical="center" wrapText="0"/>
    </xf>
    <xf borderId="3" fillId="7" fontId="9" numFmtId="165" xfId="0" applyAlignment="1" applyBorder="1" applyFont="1" applyNumberFormat="1">
      <alignment horizontal="left" shrinkToFit="0" vertical="center" wrapText="0"/>
    </xf>
    <xf borderId="3" fillId="7" fontId="9" numFmtId="3" xfId="0" applyAlignment="1" applyBorder="1" applyFont="1" applyNumberFormat="1">
      <alignment horizontal="left" shrinkToFit="0" vertical="center" wrapText="0"/>
    </xf>
    <xf borderId="0" fillId="0" fontId="10" numFmtId="0" xfId="0" applyAlignment="1" applyFont="1">
      <alignment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shrinkToFit="0" vertical="bottom" wrapText="0"/>
    </xf>
    <xf borderId="1" fillId="0" fontId="2" numFmtId="165" xfId="0" applyAlignment="1" applyBorder="1" applyFont="1" applyNumberFormat="1">
      <alignment shrinkToFit="0" vertical="bottom" wrapText="0"/>
    </xf>
    <xf borderId="1" fillId="0" fontId="2" numFmtId="167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5" fillId="2" fontId="12" numFmtId="0" xfId="0" applyAlignment="1" applyBorder="1" applyFont="1">
      <alignment horizontal="left" shrinkToFit="0" vertical="center" wrapText="0"/>
    </xf>
    <xf borderId="6" fillId="0" fontId="8" numFmtId="0" xfId="0" applyBorder="1" applyFont="1"/>
    <xf borderId="7" fillId="0" fontId="8" numFmtId="0" xfId="0" applyBorder="1" applyFont="1"/>
    <xf borderId="1" fillId="6" fontId="7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165" xfId="0" applyAlignment="1" applyBorder="1" applyFont="1" applyNumberFormat="1">
      <alignment horizontal="right" shrinkToFit="0" vertical="center" wrapText="0"/>
    </xf>
    <xf borderId="1" fillId="0" fontId="2" numFmtId="168" xfId="0" applyAlignment="1" applyBorder="1" applyFont="1" applyNumberFormat="1">
      <alignment horizontal="right" shrinkToFit="0" vertical="center" wrapText="0"/>
    </xf>
    <xf borderId="1" fillId="3" fontId="13" numFmtId="0" xfId="0" applyAlignment="1" applyBorder="1" applyFont="1">
      <alignment horizontal="left" shrinkToFit="0" vertical="center" wrapText="0"/>
    </xf>
    <xf borderId="1" fillId="3" fontId="13" numFmtId="165" xfId="0" applyAlignment="1" applyBorder="1" applyFont="1" applyNumberFormat="1">
      <alignment horizontal="right" shrinkToFit="0" vertical="center" wrapText="0"/>
    </xf>
    <xf borderId="1" fillId="3" fontId="13" numFmtId="168" xfId="0" applyAlignment="1" applyBorder="1" applyFont="1" applyNumberFormat="1">
      <alignment horizontal="right" shrinkToFit="0" vertical="center" wrapText="0"/>
    </xf>
    <xf borderId="1" fillId="0" fontId="2" numFmtId="3" xfId="0" applyAlignment="1" applyBorder="1" applyFont="1" applyNumberFormat="1">
      <alignment horizontal="righ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13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Monthly Income vs Expense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Income</c:v>
          </c:tx>
          <c:spPr>
            <a:solidFill>
              <a:srgbClr val="4672A8"/>
            </a:solidFill>
            <a:ln cmpd="sng">
              <a:solidFill>
                <a:srgbClr val="000000"/>
              </a:solidFill>
            </a:ln>
          </c:spPr>
          <c:cat>
            <c:strRef>
              <c:f>Dashboard!$J$13:$J$18</c:f>
            </c:strRef>
          </c:cat>
          <c:val>
            <c:numRef>
              <c:f>Dashboard!$K$13:$K$18</c:f>
              <c:numCache/>
            </c:numRef>
          </c:val>
        </c:ser>
        <c:ser>
          <c:idx val="1"/>
          <c:order val="1"/>
          <c:tx>
            <c:v>Expense</c:v>
          </c:tx>
          <c:spPr>
            <a:solidFill>
              <a:srgbClr val="93A9CE"/>
            </a:solidFill>
            <a:ln cmpd="sng">
              <a:solidFill>
                <a:srgbClr val="000000"/>
              </a:solidFill>
            </a:ln>
          </c:spPr>
          <c:cat>
            <c:strRef>
              <c:f>Dashboard!$J$13:$J$18</c:f>
            </c:strRef>
          </c:cat>
          <c:val>
            <c:numRef>
              <c:f>Dashboard!$L$13:$L$18</c:f>
              <c:numCache/>
            </c:numRef>
          </c:val>
        </c:ser>
        <c:axId val="1739028866"/>
        <c:axId val="29936180"/>
      </c:barChart>
      <c:catAx>
        <c:axId val="1739028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9936180"/>
      </c:catAx>
      <c:valAx>
        <c:axId val="29936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SGD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39028866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Expense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Dashboard!$K$21</c:f>
            </c:strRef>
          </c:tx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Pt>
            <c:idx val="10"/>
            <c:spPr>
              <a:solidFill>
                <a:srgbClr val="92C3D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Dashboard!$J$22:$J$32</c:f>
            </c:strRef>
          </c:cat>
          <c:val>
            <c:numRef>
              <c:f>Dashboard!$K$22:$K$32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Weekly Spending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Spending</c:v>
          </c:tx>
          <c:spPr>
            <a:ln cmpd="sng" w="9525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Dashboard!$J$36:$J$47</c:f>
            </c:strRef>
          </c:cat>
          <c:val>
            <c:numRef>
              <c:f>Dashboard!$K$36:$K$47</c:f>
              <c:numCache/>
            </c:numRef>
          </c:val>
          <c:smooth val="1"/>
        </c:ser>
        <c:axId val="852179478"/>
        <c:axId val="618152276"/>
      </c:lineChart>
      <c:catAx>
        <c:axId val="852179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18152276"/>
      </c:catAx>
      <c:valAx>
        <c:axId val="618152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SGD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2179478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Top 5 Expense Categories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Amount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Dashboard!$K$52:$K$56</c:f>
            </c:strRef>
          </c:cat>
          <c:val>
            <c:numRef>
              <c:f>Dashboard!$L$52:$L$56</c:f>
              <c:numCache/>
            </c:numRef>
          </c:val>
        </c:ser>
        <c:axId val="131881370"/>
        <c:axId val="48774910"/>
      </c:barChart>
      <c:catAx>
        <c:axId val="1318813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8774910"/>
      </c:catAx>
      <c:valAx>
        <c:axId val="48774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881370"/>
        <c:crosses val="max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0</xdr:rowOff>
    </xdr:from>
    <xdr:ext cx="5829300" cy="3209925"/>
    <xdr:graphicFrame>
      <xdr:nvGraphicFramePr>
        <xdr:cNvPr id="77518515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29</xdr:row>
      <xdr:rowOff>0</xdr:rowOff>
    </xdr:from>
    <xdr:ext cx="4810125" cy="3400425"/>
    <xdr:graphicFrame>
      <xdr:nvGraphicFramePr>
        <xdr:cNvPr id="54770347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47</xdr:row>
      <xdr:rowOff>0</xdr:rowOff>
    </xdr:from>
    <xdr:ext cx="5829300" cy="3209925"/>
    <xdr:graphicFrame>
      <xdr:nvGraphicFramePr>
        <xdr:cNvPr id="158607664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65</xdr:row>
      <xdr:rowOff>0</xdr:rowOff>
    </xdr:from>
    <xdr:ext cx="4810125" cy="3209925"/>
    <xdr:graphicFrame>
      <xdr:nvGraphicFramePr>
        <xdr:cNvPr id="211300414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1.0"/>
    <col customWidth="1" min="3" max="3" width="16.0"/>
    <col customWidth="1" min="4" max="4" width="34.0"/>
    <col customWidth="1" min="5" max="5" width="14.0"/>
    <col customWidth="1" min="6" max="6" width="17.0"/>
    <col customWidth="1" min="7" max="7" width="28.0"/>
    <col customWidth="1" min="8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.75" customHeight="1">
      <c r="A2" s="2">
        <v>46127.0</v>
      </c>
      <c r="B2" s="3" t="s">
        <v>7</v>
      </c>
      <c r="C2" s="3" t="s">
        <v>8</v>
      </c>
      <c r="D2" s="3" t="s">
        <v>8</v>
      </c>
      <c r="E2" s="4">
        <v>6512.67</v>
      </c>
      <c r="F2" s="3" t="s">
        <v>9</v>
      </c>
      <c r="G2" s="5"/>
    </row>
    <row r="3" ht="21.75" customHeight="1">
      <c r="A3" s="2">
        <v>46127.0</v>
      </c>
      <c r="B3" s="6" t="s">
        <v>10</v>
      </c>
      <c r="C3" s="6" t="s">
        <v>11</v>
      </c>
      <c r="D3" s="6" t="s">
        <v>12</v>
      </c>
      <c r="E3" s="7">
        <v>4.999</v>
      </c>
      <c r="F3" s="6" t="s">
        <v>13</v>
      </c>
      <c r="G3" s="6" t="s">
        <v>14</v>
      </c>
    </row>
    <row r="4" ht="21.75" customHeight="1">
      <c r="A4" s="2">
        <v>46130.0</v>
      </c>
      <c r="B4" s="6" t="s">
        <v>10</v>
      </c>
      <c r="C4" s="3" t="s">
        <v>15</v>
      </c>
      <c r="D4" s="3" t="s">
        <v>16</v>
      </c>
      <c r="E4" s="4">
        <v>6.58</v>
      </c>
      <c r="F4" s="3" t="s">
        <v>13</v>
      </c>
      <c r="G4" s="6" t="s">
        <v>14</v>
      </c>
    </row>
    <row r="5" ht="21.75" customHeight="1">
      <c r="A5" s="2">
        <v>46131.0</v>
      </c>
      <c r="B5" s="6" t="s">
        <v>10</v>
      </c>
      <c r="C5" s="3" t="s">
        <v>15</v>
      </c>
      <c r="D5" s="3" t="s">
        <v>16</v>
      </c>
      <c r="E5" s="7">
        <v>5.46</v>
      </c>
      <c r="F5" s="3" t="s">
        <v>13</v>
      </c>
      <c r="G5" s="6" t="s">
        <v>14</v>
      </c>
    </row>
    <row r="6" ht="21.75" customHeight="1">
      <c r="A6" s="2">
        <v>46127.0</v>
      </c>
      <c r="B6" s="6" t="s">
        <v>10</v>
      </c>
      <c r="C6" s="3" t="s">
        <v>15</v>
      </c>
      <c r="D6" s="3" t="s">
        <v>17</v>
      </c>
      <c r="E6" s="4">
        <v>6.54</v>
      </c>
      <c r="F6" s="3" t="s">
        <v>13</v>
      </c>
      <c r="G6" s="3" t="s">
        <v>18</v>
      </c>
    </row>
    <row r="7" ht="21.75" customHeight="1">
      <c r="A7" s="2">
        <v>46128.0</v>
      </c>
      <c r="B7" s="6" t="s">
        <v>10</v>
      </c>
      <c r="C7" s="6" t="s">
        <v>19</v>
      </c>
      <c r="D7" s="6" t="s">
        <v>20</v>
      </c>
      <c r="E7" s="7">
        <v>6.0</v>
      </c>
      <c r="F7" s="3" t="s">
        <v>13</v>
      </c>
      <c r="G7" s="3" t="s">
        <v>18</v>
      </c>
    </row>
    <row r="8" ht="21.75" customHeight="1">
      <c r="A8" s="2">
        <v>46127.0</v>
      </c>
      <c r="B8" s="6" t="s">
        <v>10</v>
      </c>
      <c r="C8" s="3" t="s">
        <v>21</v>
      </c>
      <c r="D8" s="3" t="s">
        <v>22</v>
      </c>
      <c r="E8" s="4">
        <v>0.1</v>
      </c>
      <c r="F8" s="3" t="s">
        <v>13</v>
      </c>
      <c r="G8" s="3" t="s">
        <v>18</v>
      </c>
    </row>
    <row r="9" ht="21.75" customHeight="1">
      <c r="A9" s="2">
        <v>46129.0</v>
      </c>
      <c r="B9" s="6" t="s">
        <v>10</v>
      </c>
      <c r="C9" s="6" t="s">
        <v>19</v>
      </c>
      <c r="D9" s="6" t="s">
        <v>20</v>
      </c>
      <c r="E9" s="7">
        <v>8.1</v>
      </c>
      <c r="F9" s="3" t="s">
        <v>13</v>
      </c>
      <c r="G9" s="3" t="s">
        <v>18</v>
      </c>
    </row>
    <row r="10" ht="21.75" customHeight="1">
      <c r="A10" s="2">
        <v>46130.0</v>
      </c>
      <c r="B10" s="6" t="s">
        <v>10</v>
      </c>
      <c r="C10" s="3" t="s">
        <v>15</v>
      </c>
      <c r="D10" s="3" t="s">
        <v>23</v>
      </c>
      <c r="E10" s="4">
        <v>16.5</v>
      </c>
      <c r="F10" s="3" t="s">
        <v>13</v>
      </c>
      <c r="G10" s="3" t="s">
        <v>18</v>
      </c>
    </row>
    <row r="11" ht="21.75" customHeight="1">
      <c r="A11" s="2">
        <v>46130.0</v>
      </c>
      <c r="B11" s="6" t="s">
        <v>10</v>
      </c>
      <c r="C11" s="6" t="s">
        <v>11</v>
      </c>
      <c r="D11" s="6" t="s">
        <v>24</v>
      </c>
      <c r="E11" s="7">
        <v>13.98</v>
      </c>
      <c r="F11" s="3" t="s">
        <v>13</v>
      </c>
      <c r="G11" s="3" t="s">
        <v>18</v>
      </c>
    </row>
    <row r="12" ht="21.75" customHeight="1">
      <c r="A12" s="2">
        <v>46130.0</v>
      </c>
      <c r="B12" s="6" t="s">
        <v>10</v>
      </c>
      <c r="C12" s="3" t="s">
        <v>25</v>
      </c>
      <c r="D12" s="3" t="s">
        <v>26</v>
      </c>
      <c r="E12" s="4">
        <v>25.88</v>
      </c>
      <c r="F12" s="3" t="s">
        <v>13</v>
      </c>
      <c r="G12" s="3" t="s">
        <v>18</v>
      </c>
    </row>
    <row r="13" ht="21.75" customHeight="1">
      <c r="A13" s="2">
        <v>46131.0</v>
      </c>
      <c r="B13" s="6" t="s">
        <v>10</v>
      </c>
      <c r="C13" s="6" t="s">
        <v>27</v>
      </c>
      <c r="D13" s="6" t="s">
        <v>28</v>
      </c>
      <c r="E13" s="7">
        <v>18.0</v>
      </c>
      <c r="F13" s="3" t="s">
        <v>13</v>
      </c>
      <c r="G13" s="3" t="s">
        <v>18</v>
      </c>
    </row>
    <row r="14" ht="21.75" customHeight="1">
      <c r="A14" s="2">
        <v>46129.0</v>
      </c>
      <c r="B14" s="6" t="s">
        <v>10</v>
      </c>
      <c r="C14" s="3" t="s">
        <v>11</v>
      </c>
      <c r="D14" s="3" t="s">
        <v>29</v>
      </c>
      <c r="E14" s="4">
        <v>17.46</v>
      </c>
      <c r="F14" s="3" t="s">
        <v>30</v>
      </c>
      <c r="G14" s="3" t="s">
        <v>31</v>
      </c>
    </row>
    <row r="15" ht="21.75" customHeight="1">
      <c r="A15" s="2">
        <v>46127.0</v>
      </c>
      <c r="B15" s="6" t="s">
        <v>10</v>
      </c>
      <c r="C15" s="6" t="s">
        <v>19</v>
      </c>
      <c r="D15" s="6" t="s">
        <v>32</v>
      </c>
      <c r="E15" s="7">
        <v>11.8</v>
      </c>
      <c r="F15" s="6" t="s">
        <v>13</v>
      </c>
      <c r="G15" s="6" t="s">
        <v>33</v>
      </c>
    </row>
    <row r="16" ht="21.75" customHeight="1">
      <c r="A16" s="2">
        <v>46131.0</v>
      </c>
      <c r="B16" s="6" t="s">
        <v>10</v>
      </c>
      <c r="C16" s="6" t="s">
        <v>19</v>
      </c>
      <c r="D16" s="3" t="s">
        <v>34</v>
      </c>
      <c r="E16" s="4">
        <v>13.7</v>
      </c>
      <c r="F16" s="6" t="s">
        <v>13</v>
      </c>
      <c r="G16" s="3" t="s">
        <v>33</v>
      </c>
    </row>
    <row r="17" ht="21.75" customHeight="1">
      <c r="A17" s="2">
        <v>46127.0</v>
      </c>
      <c r="B17" s="6" t="s">
        <v>7</v>
      </c>
      <c r="C17" s="6" t="s">
        <v>35</v>
      </c>
      <c r="D17" s="6" t="s">
        <v>36</v>
      </c>
      <c r="E17" s="7">
        <v>200.0</v>
      </c>
      <c r="F17" s="6" t="s">
        <v>37</v>
      </c>
      <c r="G17" s="8"/>
    </row>
    <row r="18" ht="21.75" customHeight="1">
      <c r="A18" s="2">
        <v>46127.0</v>
      </c>
      <c r="B18" s="6" t="s">
        <v>7</v>
      </c>
      <c r="C18" s="3" t="s">
        <v>38</v>
      </c>
      <c r="D18" s="3" t="s">
        <v>39</v>
      </c>
      <c r="E18" s="4">
        <v>20.0</v>
      </c>
      <c r="F18" s="3" t="s">
        <v>37</v>
      </c>
      <c r="G18" s="5"/>
    </row>
    <row r="19" ht="21.75" customHeight="1">
      <c r="A19" s="2">
        <v>46131.0</v>
      </c>
      <c r="B19" s="6" t="s">
        <v>10</v>
      </c>
      <c r="C19" s="6" t="s">
        <v>19</v>
      </c>
      <c r="D19" s="6" t="s">
        <v>40</v>
      </c>
      <c r="E19" s="7">
        <v>13.0</v>
      </c>
      <c r="F19" s="6" t="s">
        <v>13</v>
      </c>
      <c r="G19" s="6" t="s">
        <v>18</v>
      </c>
    </row>
    <row r="20" ht="21.75" customHeight="1">
      <c r="A20" s="2">
        <v>46132.0</v>
      </c>
      <c r="B20" s="6" t="s">
        <v>10</v>
      </c>
      <c r="C20" s="6" t="s">
        <v>19</v>
      </c>
      <c r="D20" s="6" t="s">
        <v>20</v>
      </c>
      <c r="E20" s="4">
        <v>7.1</v>
      </c>
      <c r="F20" s="6" t="s">
        <v>13</v>
      </c>
      <c r="G20" s="6" t="s">
        <v>18</v>
      </c>
    </row>
    <row r="21" ht="21.75" customHeight="1">
      <c r="A21" s="2">
        <v>46132.0</v>
      </c>
      <c r="B21" s="6" t="s">
        <v>10</v>
      </c>
      <c r="C21" s="6" t="s">
        <v>21</v>
      </c>
      <c r="D21" s="6" t="s">
        <v>22</v>
      </c>
      <c r="E21" s="7">
        <v>0.2</v>
      </c>
      <c r="F21" s="6" t="s">
        <v>13</v>
      </c>
      <c r="G21" s="6" t="s">
        <v>18</v>
      </c>
    </row>
    <row r="22" ht="21.75" customHeight="1">
      <c r="A22" s="2">
        <v>46132.0</v>
      </c>
      <c r="B22" s="6" t="s">
        <v>10</v>
      </c>
      <c r="C22" s="3" t="s">
        <v>25</v>
      </c>
      <c r="D22" s="3" t="s">
        <v>26</v>
      </c>
      <c r="E22" s="4">
        <v>14.44</v>
      </c>
      <c r="F22" s="6" t="s">
        <v>13</v>
      </c>
      <c r="G22" s="6" t="s">
        <v>18</v>
      </c>
    </row>
    <row r="23" ht="21.75" customHeight="1">
      <c r="A23" s="2">
        <v>46132.0</v>
      </c>
      <c r="B23" s="6" t="s">
        <v>10</v>
      </c>
      <c r="C23" s="3" t="s">
        <v>25</v>
      </c>
      <c r="D23" s="3" t="s">
        <v>26</v>
      </c>
      <c r="E23" s="7">
        <v>18.27</v>
      </c>
      <c r="F23" s="6" t="s">
        <v>13</v>
      </c>
      <c r="G23" s="6" t="s">
        <v>18</v>
      </c>
    </row>
    <row r="24" ht="21.75" customHeight="1">
      <c r="A24" s="2">
        <v>46134.0</v>
      </c>
      <c r="B24" s="6" t="s">
        <v>10</v>
      </c>
      <c r="C24" s="3" t="s">
        <v>19</v>
      </c>
      <c r="D24" s="3" t="s">
        <v>20</v>
      </c>
      <c r="E24" s="4">
        <v>5.4</v>
      </c>
      <c r="F24" s="6" t="s">
        <v>13</v>
      </c>
      <c r="G24" s="6" t="s">
        <v>18</v>
      </c>
    </row>
    <row r="25" ht="21.75" customHeight="1">
      <c r="A25" s="2">
        <v>46134.0</v>
      </c>
      <c r="B25" s="6" t="s">
        <v>10</v>
      </c>
      <c r="C25" s="3" t="s">
        <v>19</v>
      </c>
      <c r="D25" s="6" t="s">
        <v>41</v>
      </c>
      <c r="E25" s="7">
        <v>5.1</v>
      </c>
      <c r="F25" s="6" t="s">
        <v>13</v>
      </c>
      <c r="G25" s="6" t="s">
        <v>18</v>
      </c>
    </row>
    <row r="26" ht="21.75" customHeight="1">
      <c r="A26" s="2">
        <v>46134.0</v>
      </c>
      <c r="B26" s="6" t="s">
        <v>10</v>
      </c>
      <c r="C26" s="3" t="s">
        <v>25</v>
      </c>
      <c r="D26" s="3" t="s">
        <v>26</v>
      </c>
      <c r="E26" s="4">
        <v>3.1</v>
      </c>
      <c r="F26" s="6" t="s">
        <v>13</v>
      </c>
      <c r="G26" s="6" t="s">
        <v>18</v>
      </c>
    </row>
    <row r="27" ht="21.75" customHeight="1">
      <c r="A27" s="2">
        <v>46135.0</v>
      </c>
      <c r="B27" s="6" t="s">
        <v>10</v>
      </c>
      <c r="C27" s="6" t="s">
        <v>21</v>
      </c>
      <c r="D27" s="6" t="s">
        <v>22</v>
      </c>
      <c r="E27" s="7">
        <v>0.2</v>
      </c>
      <c r="F27" s="6" t="s">
        <v>13</v>
      </c>
      <c r="G27" s="6" t="s">
        <v>18</v>
      </c>
    </row>
    <row r="28" ht="21.75" customHeight="1">
      <c r="A28" s="2">
        <v>46136.0</v>
      </c>
      <c r="B28" s="6" t="s">
        <v>10</v>
      </c>
      <c r="C28" s="3" t="s">
        <v>19</v>
      </c>
      <c r="D28" s="3" t="s">
        <v>42</v>
      </c>
      <c r="E28" s="4">
        <v>15.1</v>
      </c>
      <c r="F28" s="6" t="s">
        <v>13</v>
      </c>
      <c r="G28" s="6" t="s">
        <v>18</v>
      </c>
    </row>
    <row r="29" ht="21.75" customHeight="1">
      <c r="A29" s="2">
        <v>46137.0</v>
      </c>
      <c r="B29" s="6" t="s">
        <v>10</v>
      </c>
      <c r="C29" s="6" t="s">
        <v>38</v>
      </c>
      <c r="D29" s="6" t="s">
        <v>43</v>
      </c>
      <c r="E29" s="7">
        <v>125.0</v>
      </c>
      <c r="F29" s="6" t="s">
        <v>13</v>
      </c>
      <c r="G29" s="6" t="s">
        <v>18</v>
      </c>
    </row>
    <row r="30" ht="21.75" customHeight="1">
      <c r="A30" s="2">
        <v>46138.0</v>
      </c>
      <c r="B30" s="6" t="s">
        <v>10</v>
      </c>
      <c r="C30" s="3" t="s">
        <v>11</v>
      </c>
      <c r="D30" s="3" t="s">
        <v>44</v>
      </c>
      <c r="E30" s="4">
        <v>17.98</v>
      </c>
      <c r="F30" s="6" t="s">
        <v>13</v>
      </c>
      <c r="G30" s="6" t="s">
        <v>18</v>
      </c>
    </row>
    <row r="31" ht="21.75" customHeight="1">
      <c r="A31" s="2">
        <v>46138.0</v>
      </c>
      <c r="B31" s="6" t="s">
        <v>10</v>
      </c>
      <c r="C31" s="3" t="s">
        <v>11</v>
      </c>
      <c r="D31" s="6" t="s">
        <v>45</v>
      </c>
      <c r="E31" s="7">
        <v>82.62</v>
      </c>
      <c r="F31" s="6" t="s">
        <v>13</v>
      </c>
      <c r="G31" s="6" t="s">
        <v>18</v>
      </c>
    </row>
    <row r="32" ht="15.75" customHeight="1">
      <c r="A32" s="2">
        <v>46138.0</v>
      </c>
      <c r="B32" s="6" t="s">
        <v>10</v>
      </c>
      <c r="C32" s="9" t="s">
        <v>19</v>
      </c>
      <c r="D32" s="9" t="s">
        <v>46</v>
      </c>
      <c r="E32" s="10">
        <v>18.25</v>
      </c>
      <c r="F32" s="6" t="s">
        <v>13</v>
      </c>
      <c r="G32" s="6" t="s">
        <v>18</v>
      </c>
    </row>
    <row r="33" ht="15.75" customHeight="1">
      <c r="A33" s="2">
        <v>46134.0</v>
      </c>
      <c r="B33" s="9" t="s">
        <v>7</v>
      </c>
      <c r="C33" s="9" t="s">
        <v>8</v>
      </c>
      <c r="D33" s="9" t="s">
        <v>47</v>
      </c>
      <c r="E33" s="10">
        <v>440.9</v>
      </c>
      <c r="F33" s="6" t="s">
        <v>13</v>
      </c>
      <c r="G33" s="6" t="s">
        <v>48</v>
      </c>
    </row>
    <row r="34" ht="15.75" customHeight="1">
      <c r="A34" s="2">
        <v>46134.0</v>
      </c>
      <c r="B34" s="9" t="s">
        <v>10</v>
      </c>
      <c r="C34" s="9" t="s">
        <v>15</v>
      </c>
      <c r="D34" s="9" t="s">
        <v>16</v>
      </c>
      <c r="E34" s="10">
        <v>15.51</v>
      </c>
      <c r="F34" s="6" t="s">
        <v>13</v>
      </c>
      <c r="G34" s="6" t="s">
        <v>14</v>
      </c>
    </row>
    <row r="35" ht="15.75" customHeight="1">
      <c r="A35" s="2">
        <v>46135.0</v>
      </c>
      <c r="B35" s="9" t="s">
        <v>10</v>
      </c>
      <c r="C35" s="9" t="s">
        <v>15</v>
      </c>
      <c r="D35" s="9" t="s">
        <v>16</v>
      </c>
      <c r="E35" s="10">
        <v>21.16</v>
      </c>
      <c r="F35" s="6" t="s">
        <v>13</v>
      </c>
      <c r="G35" s="6" t="s">
        <v>14</v>
      </c>
    </row>
    <row r="36" ht="15.75" customHeight="1">
      <c r="A36" s="2">
        <v>46138.0</v>
      </c>
      <c r="B36" s="9" t="s">
        <v>10</v>
      </c>
      <c r="C36" s="9" t="s">
        <v>11</v>
      </c>
      <c r="D36" s="9" t="s">
        <v>49</v>
      </c>
      <c r="E36" s="10">
        <v>7.0</v>
      </c>
      <c r="F36" s="6" t="s">
        <v>13</v>
      </c>
      <c r="G36" s="6" t="s">
        <v>14</v>
      </c>
    </row>
    <row r="37" ht="15.75" customHeight="1">
      <c r="A37" s="2">
        <v>46135.0</v>
      </c>
      <c r="B37" s="9" t="s">
        <v>10</v>
      </c>
      <c r="C37" s="9" t="s">
        <v>19</v>
      </c>
      <c r="D37" s="9" t="s">
        <v>50</v>
      </c>
      <c r="E37" s="10">
        <v>18.0</v>
      </c>
      <c r="F37" s="9" t="s">
        <v>30</v>
      </c>
      <c r="G37" s="9" t="s">
        <v>31</v>
      </c>
    </row>
    <row r="38" ht="15.75" customHeight="1">
      <c r="A38" s="2">
        <v>46136.0</v>
      </c>
      <c r="B38" s="9" t="s">
        <v>7</v>
      </c>
      <c r="C38" s="9" t="s">
        <v>8</v>
      </c>
      <c r="D38" s="9" t="s">
        <v>51</v>
      </c>
      <c r="E38" s="10">
        <v>25.52</v>
      </c>
      <c r="F38" s="11"/>
      <c r="G38" s="9" t="s">
        <v>31</v>
      </c>
    </row>
    <row r="39" ht="15.75" customHeight="1">
      <c r="A39" s="2">
        <v>46139.0</v>
      </c>
      <c r="B39" s="9" t="s">
        <v>7</v>
      </c>
      <c r="C39" s="9" t="s">
        <v>52</v>
      </c>
      <c r="D39" s="9" t="s">
        <v>53</v>
      </c>
      <c r="E39" s="10">
        <v>1482.0</v>
      </c>
      <c r="F39" s="11"/>
      <c r="G39" s="9" t="s">
        <v>31</v>
      </c>
    </row>
    <row r="40" ht="15.75" customHeight="1">
      <c r="A40" s="2">
        <v>46143.0</v>
      </c>
      <c r="B40" s="9" t="s">
        <v>10</v>
      </c>
      <c r="C40" s="9" t="s">
        <v>21</v>
      </c>
      <c r="D40" s="9" t="s">
        <v>54</v>
      </c>
      <c r="E40" s="10">
        <v>1.2</v>
      </c>
      <c r="F40" s="11"/>
      <c r="G40" s="9" t="s">
        <v>31</v>
      </c>
    </row>
    <row r="41" ht="15.75" customHeight="1">
      <c r="A41" s="2">
        <v>46138.0</v>
      </c>
      <c r="B41" s="9" t="s">
        <v>10</v>
      </c>
      <c r="C41" s="9" t="s">
        <v>25</v>
      </c>
      <c r="D41" s="9" t="s">
        <v>26</v>
      </c>
      <c r="E41" s="10">
        <v>5.86</v>
      </c>
      <c r="F41" s="9" t="s">
        <v>13</v>
      </c>
      <c r="G41" s="9" t="s">
        <v>18</v>
      </c>
    </row>
    <row r="42" ht="15.75" customHeight="1">
      <c r="A42" s="2">
        <v>46139.0</v>
      </c>
      <c r="B42" s="9" t="s">
        <v>10</v>
      </c>
      <c r="C42" s="9" t="s">
        <v>19</v>
      </c>
      <c r="D42" s="9" t="s">
        <v>32</v>
      </c>
      <c r="E42" s="10">
        <v>7.9</v>
      </c>
      <c r="F42" s="9" t="s">
        <v>13</v>
      </c>
      <c r="G42" s="9" t="s">
        <v>18</v>
      </c>
    </row>
    <row r="43" ht="15.75" customHeight="1">
      <c r="A43" s="2">
        <v>46139.0</v>
      </c>
      <c r="B43" s="9" t="s">
        <v>10</v>
      </c>
      <c r="C43" s="9" t="s">
        <v>19</v>
      </c>
      <c r="E43" s="10">
        <v>0.17</v>
      </c>
      <c r="F43" s="9" t="s">
        <v>13</v>
      </c>
      <c r="G43" s="9" t="s">
        <v>18</v>
      </c>
    </row>
    <row r="44" ht="15.75" customHeight="1">
      <c r="A44" s="2">
        <v>46140.0</v>
      </c>
      <c r="B44" s="9" t="s">
        <v>10</v>
      </c>
      <c r="C44" s="9" t="s">
        <v>19</v>
      </c>
      <c r="D44" s="9" t="s">
        <v>55</v>
      </c>
      <c r="E44" s="10">
        <v>7.8</v>
      </c>
      <c r="F44" s="9" t="s">
        <v>13</v>
      </c>
      <c r="G44" s="9" t="s">
        <v>18</v>
      </c>
    </row>
    <row r="45" ht="15.75" customHeight="1">
      <c r="A45" s="2">
        <v>46140.0</v>
      </c>
      <c r="B45" s="9" t="s">
        <v>10</v>
      </c>
      <c r="C45" s="9" t="s">
        <v>21</v>
      </c>
      <c r="D45" s="9" t="s">
        <v>22</v>
      </c>
      <c r="E45" s="10">
        <v>0.1</v>
      </c>
      <c r="F45" s="9" t="s">
        <v>13</v>
      </c>
      <c r="G45" s="9" t="s">
        <v>18</v>
      </c>
    </row>
    <row r="46" ht="15.75" customHeight="1">
      <c r="A46" s="2">
        <v>46141.0</v>
      </c>
      <c r="B46" s="9" t="s">
        <v>10</v>
      </c>
      <c r="C46" s="9" t="s">
        <v>19</v>
      </c>
      <c r="D46" s="9" t="s">
        <v>42</v>
      </c>
      <c r="E46" s="10">
        <v>11.5</v>
      </c>
      <c r="F46" s="9" t="s">
        <v>13</v>
      </c>
      <c r="G46" s="9" t="s">
        <v>18</v>
      </c>
    </row>
    <row r="47" ht="15.75" customHeight="1">
      <c r="A47" s="2">
        <v>46142.0</v>
      </c>
      <c r="B47" s="9" t="s">
        <v>10</v>
      </c>
      <c r="C47" s="9" t="s">
        <v>19</v>
      </c>
      <c r="D47" s="9" t="s">
        <v>56</v>
      </c>
      <c r="E47" s="10">
        <v>14.5</v>
      </c>
      <c r="F47" s="9" t="s">
        <v>13</v>
      </c>
      <c r="G47" s="9" t="s">
        <v>18</v>
      </c>
    </row>
    <row r="48" ht="15.75" customHeight="1">
      <c r="A48" s="2">
        <v>46143.0</v>
      </c>
      <c r="B48" s="9" t="s">
        <v>10</v>
      </c>
      <c r="C48" s="9" t="s">
        <v>15</v>
      </c>
      <c r="D48" s="9" t="s">
        <v>57</v>
      </c>
      <c r="E48" s="10">
        <v>26.48</v>
      </c>
      <c r="F48" s="9" t="s">
        <v>13</v>
      </c>
      <c r="G48" s="9" t="s">
        <v>18</v>
      </c>
    </row>
    <row r="49" ht="15.75" customHeight="1">
      <c r="A49" s="2">
        <v>46143.0</v>
      </c>
      <c r="B49" s="9" t="s">
        <v>10</v>
      </c>
      <c r="C49" s="9" t="s">
        <v>11</v>
      </c>
      <c r="D49" s="9" t="s">
        <v>58</v>
      </c>
      <c r="E49" s="10">
        <v>89.0</v>
      </c>
      <c r="F49" s="9" t="s">
        <v>13</v>
      </c>
      <c r="G49" s="9" t="s">
        <v>14</v>
      </c>
    </row>
    <row r="50" ht="15.75" customHeight="1">
      <c r="A50" s="2">
        <v>46143.0</v>
      </c>
      <c r="B50" s="9" t="s">
        <v>10</v>
      </c>
      <c r="C50" s="9" t="s">
        <v>19</v>
      </c>
      <c r="D50" s="9" t="s">
        <v>59</v>
      </c>
      <c r="E50" s="10">
        <v>75.0</v>
      </c>
      <c r="F50" s="9" t="s">
        <v>30</v>
      </c>
      <c r="G50" s="9" t="s">
        <v>31</v>
      </c>
    </row>
    <row r="51" ht="15.75" customHeight="1">
      <c r="A51" s="2">
        <v>46144.0</v>
      </c>
      <c r="B51" s="9" t="s">
        <v>10</v>
      </c>
      <c r="C51" s="9" t="s">
        <v>15</v>
      </c>
      <c r="D51" s="9" t="s">
        <v>28</v>
      </c>
      <c r="E51" s="10">
        <v>39.9</v>
      </c>
      <c r="F51" s="9" t="s">
        <v>30</v>
      </c>
      <c r="G51" s="9" t="s">
        <v>31</v>
      </c>
    </row>
    <row r="52" ht="15.75" customHeight="1">
      <c r="A52" s="2">
        <v>46144.0</v>
      </c>
      <c r="B52" s="9" t="s">
        <v>10</v>
      </c>
      <c r="C52" s="9" t="s">
        <v>11</v>
      </c>
      <c r="D52" s="9" t="s">
        <v>60</v>
      </c>
      <c r="E52" s="10">
        <v>30.0</v>
      </c>
      <c r="F52" s="9" t="s">
        <v>13</v>
      </c>
      <c r="G52" s="9" t="s">
        <v>31</v>
      </c>
    </row>
    <row r="53" ht="15.75" customHeight="1">
      <c r="A53" s="2">
        <v>46143.0</v>
      </c>
      <c r="B53" s="9" t="s">
        <v>10</v>
      </c>
      <c r="C53" s="9" t="s">
        <v>19</v>
      </c>
      <c r="D53" s="9" t="s">
        <v>61</v>
      </c>
      <c r="E53" s="10">
        <v>4.8</v>
      </c>
      <c r="F53" s="9" t="s">
        <v>13</v>
      </c>
      <c r="G53" s="9" t="s">
        <v>18</v>
      </c>
    </row>
    <row r="54" ht="15.75" customHeight="1">
      <c r="A54" s="2">
        <v>46143.0</v>
      </c>
      <c r="B54" s="9" t="s">
        <v>10</v>
      </c>
      <c r="C54" s="9" t="s">
        <v>19</v>
      </c>
      <c r="D54" s="9" t="s">
        <v>62</v>
      </c>
      <c r="E54" s="10">
        <v>6.1</v>
      </c>
      <c r="F54" s="9" t="s">
        <v>13</v>
      </c>
      <c r="G54" s="9" t="s">
        <v>18</v>
      </c>
    </row>
    <row r="55" ht="15.75" customHeight="1">
      <c r="A55" s="2">
        <v>46144.0</v>
      </c>
      <c r="B55" s="9" t="s">
        <v>10</v>
      </c>
      <c r="C55" s="9" t="s">
        <v>19</v>
      </c>
      <c r="D55" s="9" t="s">
        <v>63</v>
      </c>
      <c r="E55" s="10">
        <v>6.5</v>
      </c>
      <c r="F55" s="9" t="s">
        <v>13</v>
      </c>
      <c r="G55" s="9" t="s">
        <v>18</v>
      </c>
    </row>
    <row r="56" ht="15.75" customHeight="1">
      <c r="A56" s="2">
        <v>46144.0</v>
      </c>
      <c r="B56" s="9" t="s">
        <v>10</v>
      </c>
      <c r="C56" s="9" t="s">
        <v>11</v>
      </c>
      <c r="D56" s="9" t="s">
        <v>64</v>
      </c>
      <c r="E56" s="10">
        <v>13.45</v>
      </c>
      <c r="F56" s="9" t="s">
        <v>13</v>
      </c>
      <c r="G56" s="9" t="s">
        <v>18</v>
      </c>
    </row>
    <row r="57" ht="15.75" customHeight="1">
      <c r="A57" s="2">
        <v>46144.0</v>
      </c>
      <c r="B57" s="9" t="s">
        <v>10</v>
      </c>
      <c r="C57" s="9" t="s">
        <v>11</v>
      </c>
      <c r="D57" s="9" t="s">
        <v>65</v>
      </c>
      <c r="E57" s="10">
        <v>33.9</v>
      </c>
      <c r="F57" s="9" t="s">
        <v>13</v>
      </c>
      <c r="G57" s="9" t="s">
        <v>14</v>
      </c>
    </row>
    <row r="58" ht="15.75" customHeight="1">
      <c r="A58" s="2">
        <v>46145.0</v>
      </c>
      <c r="B58" s="9" t="s">
        <v>10</v>
      </c>
      <c r="C58" s="9" t="s">
        <v>27</v>
      </c>
      <c r="D58" s="9" t="s">
        <v>66</v>
      </c>
      <c r="E58" s="10">
        <v>80.0</v>
      </c>
      <c r="F58" s="9" t="s">
        <v>30</v>
      </c>
      <c r="G58" s="9" t="s">
        <v>31</v>
      </c>
    </row>
    <row r="59" ht="15.75" customHeight="1">
      <c r="A59" s="2">
        <v>46145.0</v>
      </c>
      <c r="B59" s="9" t="s">
        <v>10</v>
      </c>
      <c r="C59" s="9" t="s">
        <v>21</v>
      </c>
      <c r="D59" s="9" t="s">
        <v>67</v>
      </c>
      <c r="E59" s="10">
        <v>14.0</v>
      </c>
      <c r="F59" s="9" t="s">
        <v>37</v>
      </c>
    </row>
    <row r="60" ht="15.75" customHeight="1">
      <c r="A60" s="2">
        <v>46146.0</v>
      </c>
      <c r="B60" s="9" t="s">
        <v>10</v>
      </c>
      <c r="C60" s="9" t="s">
        <v>19</v>
      </c>
      <c r="D60" s="9" t="s">
        <v>68</v>
      </c>
      <c r="E60" s="10">
        <v>3.4</v>
      </c>
      <c r="F60" s="9" t="s">
        <v>30</v>
      </c>
      <c r="G60" s="9" t="s">
        <v>31</v>
      </c>
    </row>
    <row r="61" ht="15.75" customHeight="1">
      <c r="A61" s="2">
        <v>46147.0</v>
      </c>
      <c r="B61" s="9" t="s">
        <v>10</v>
      </c>
      <c r="C61" s="9" t="s">
        <v>19</v>
      </c>
      <c r="D61" s="9" t="s">
        <v>55</v>
      </c>
      <c r="E61" s="10">
        <v>8.5</v>
      </c>
      <c r="F61" s="9" t="s">
        <v>30</v>
      </c>
      <c r="G61" s="9" t="s">
        <v>31</v>
      </c>
    </row>
    <row r="62" ht="15.75" customHeight="1">
      <c r="A62" s="2">
        <v>46148.0</v>
      </c>
      <c r="B62" s="9" t="s">
        <v>10</v>
      </c>
      <c r="C62" s="9" t="s">
        <v>69</v>
      </c>
      <c r="D62" s="9" t="s">
        <v>70</v>
      </c>
      <c r="E62" s="10">
        <v>240.0</v>
      </c>
      <c r="F62" s="9" t="s">
        <v>30</v>
      </c>
      <c r="G62" s="9" t="s">
        <v>31</v>
      </c>
    </row>
    <row r="63" ht="15.75" customHeight="1">
      <c r="A63" s="2">
        <v>46148.0</v>
      </c>
      <c r="B63" s="9" t="s">
        <v>10</v>
      </c>
      <c r="C63" s="9" t="s">
        <v>21</v>
      </c>
      <c r="D63" s="9" t="s">
        <v>71</v>
      </c>
      <c r="E63" s="10">
        <v>13.0</v>
      </c>
      <c r="F63" s="9" t="s">
        <v>30</v>
      </c>
      <c r="G63" s="9" t="s">
        <v>31</v>
      </c>
    </row>
    <row r="64" ht="15.75" customHeight="1">
      <c r="A64" s="2">
        <v>46149.0</v>
      </c>
      <c r="B64" s="9" t="s">
        <v>7</v>
      </c>
      <c r="C64" s="9" t="s">
        <v>38</v>
      </c>
      <c r="D64" s="9" t="s">
        <v>72</v>
      </c>
      <c r="E64" s="10">
        <v>16.38</v>
      </c>
      <c r="F64" s="11"/>
      <c r="G64" s="9" t="s">
        <v>31</v>
      </c>
    </row>
    <row r="65" ht="15.75" customHeight="1">
      <c r="A65" s="2">
        <v>46150.0</v>
      </c>
      <c r="B65" s="9" t="s">
        <v>7</v>
      </c>
      <c r="C65" s="9" t="s">
        <v>52</v>
      </c>
      <c r="D65" s="9" t="s">
        <v>51</v>
      </c>
      <c r="E65" s="10">
        <v>25.42</v>
      </c>
      <c r="F65" s="11"/>
      <c r="G65" s="9" t="s">
        <v>31</v>
      </c>
    </row>
    <row r="66" ht="15.75" customHeight="1">
      <c r="A66" s="2">
        <v>46150.0</v>
      </c>
      <c r="B66" s="9" t="s">
        <v>7</v>
      </c>
      <c r="C66" s="9" t="s">
        <v>52</v>
      </c>
      <c r="D66" s="9" t="s">
        <v>73</v>
      </c>
      <c r="E66" s="10">
        <v>33.92</v>
      </c>
      <c r="F66" s="11"/>
      <c r="G66" s="9" t="s">
        <v>31</v>
      </c>
    </row>
    <row r="67" ht="15.75" customHeight="1">
      <c r="A67" s="2">
        <v>46151.0</v>
      </c>
      <c r="B67" s="9" t="s">
        <v>10</v>
      </c>
      <c r="C67" s="9" t="s">
        <v>11</v>
      </c>
      <c r="D67" s="9" t="s">
        <v>74</v>
      </c>
      <c r="E67" s="10">
        <v>28.59</v>
      </c>
      <c r="F67" s="9" t="s">
        <v>13</v>
      </c>
      <c r="G67" s="3" t="s">
        <v>33</v>
      </c>
    </row>
    <row r="68" ht="15.75" customHeight="1">
      <c r="A68" s="2">
        <v>46145.0</v>
      </c>
      <c r="B68" s="9" t="s">
        <v>10</v>
      </c>
      <c r="C68" s="9" t="s">
        <v>15</v>
      </c>
      <c r="D68" s="9" t="s">
        <v>28</v>
      </c>
      <c r="E68" s="10">
        <v>19.9</v>
      </c>
      <c r="F68" s="9" t="s">
        <v>13</v>
      </c>
      <c r="G68" s="9" t="s">
        <v>14</v>
      </c>
    </row>
    <row r="69" ht="15.75" customHeight="1">
      <c r="A69" s="2">
        <v>46145.0</v>
      </c>
      <c r="B69" s="9" t="s">
        <v>10</v>
      </c>
      <c r="C69" s="9" t="s">
        <v>15</v>
      </c>
      <c r="D69" s="9" t="s">
        <v>28</v>
      </c>
      <c r="E69" s="10">
        <v>15.96</v>
      </c>
      <c r="F69" s="9" t="s">
        <v>13</v>
      </c>
      <c r="G69" s="9" t="s">
        <v>14</v>
      </c>
    </row>
    <row r="70" ht="15.75" customHeight="1">
      <c r="A70" s="2">
        <v>46146.0</v>
      </c>
      <c r="B70" s="9" t="s">
        <v>10</v>
      </c>
      <c r="C70" s="9" t="s">
        <v>38</v>
      </c>
      <c r="D70" s="9" t="s">
        <v>43</v>
      </c>
      <c r="E70" s="10">
        <v>70.0</v>
      </c>
      <c r="F70" s="9" t="s">
        <v>13</v>
      </c>
      <c r="G70" s="9" t="s">
        <v>14</v>
      </c>
    </row>
    <row r="71" ht="15.75" customHeight="1">
      <c r="A71" s="2">
        <v>46148.0</v>
      </c>
      <c r="B71" s="9" t="s">
        <v>10</v>
      </c>
      <c r="C71" s="9" t="s">
        <v>11</v>
      </c>
      <c r="D71" s="9" t="s">
        <v>75</v>
      </c>
      <c r="E71" s="10">
        <v>9.0</v>
      </c>
      <c r="F71" s="9" t="s">
        <v>13</v>
      </c>
      <c r="G71" s="9" t="s">
        <v>14</v>
      </c>
    </row>
    <row r="72" ht="15.75" customHeight="1">
      <c r="A72" s="2">
        <v>46145.0</v>
      </c>
      <c r="B72" s="9" t="s">
        <v>10</v>
      </c>
      <c r="C72" s="9" t="s">
        <v>19</v>
      </c>
      <c r="D72" s="9" t="s">
        <v>76</v>
      </c>
      <c r="E72" s="10">
        <v>20.0</v>
      </c>
      <c r="F72" s="9" t="s">
        <v>13</v>
      </c>
      <c r="G72" s="9" t="s">
        <v>18</v>
      </c>
    </row>
    <row r="73" ht="15.75" customHeight="1">
      <c r="A73" s="2">
        <v>46146.0</v>
      </c>
      <c r="B73" s="9" t="s">
        <v>10</v>
      </c>
      <c r="C73" s="9" t="s">
        <v>25</v>
      </c>
      <c r="D73" s="9" t="s">
        <v>26</v>
      </c>
      <c r="E73" s="10">
        <v>23.65</v>
      </c>
      <c r="F73" s="9" t="s">
        <v>13</v>
      </c>
      <c r="G73" s="9" t="s">
        <v>18</v>
      </c>
    </row>
    <row r="74" ht="15.75" customHeight="1">
      <c r="A74" s="2">
        <v>46146.0</v>
      </c>
      <c r="B74" s="9" t="s">
        <v>10</v>
      </c>
      <c r="C74" s="9" t="s">
        <v>19</v>
      </c>
      <c r="D74" s="9" t="s">
        <v>77</v>
      </c>
      <c r="E74" s="10">
        <v>11.9</v>
      </c>
      <c r="F74" s="9" t="s">
        <v>13</v>
      </c>
      <c r="G74" s="9" t="s">
        <v>18</v>
      </c>
    </row>
    <row r="75" ht="15.75" customHeight="1">
      <c r="A75" s="2">
        <v>46148.0</v>
      </c>
      <c r="B75" s="9" t="s">
        <v>10</v>
      </c>
      <c r="C75" s="9" t="s">
        <v>19</v>
      </c>
      <c r="D75" s="9" t="s">
        <v>20</v>
      </c>
      <c r="E75" s="10">
        <v>7.1</v>
      </c>
      <c r="F75" s="9" t="s">
        <v>13</v>
      </c>
      <c r="G75" s="9" t="s">
        <v>18</v>
      </c>
    </row>
    <row r="76" ht="15.75" customHeight="1">
      <c r="A76" s="2">
        <v>46149.0</v>
      </c>
      <c r="B76" s="9" t="s">
        <v>10</v>
      </c>
      <c r="C76" s="9" t="s">
        <v>19</v>
      </c>
      <c r="D76" s="9" t="s">
        <v>20</v>
      </c>
      <c r="E76" s="10">
        <v>7.1</v>
      </c>
      <c r="F76" s="9" t="s">
        <v>13</v>
      </c>
      <c r="G76" s="9" t="s">
        <v>18</v>
      </c>
    </row>
    <row r="77" ht="15.75" customHeight="1">
      <c r="A77" s="2">
        <v>46150.0</v>
      </c>
      <c r="B77" s="9" t="s">
        <v>10</v>
      </c>
      <c r="C77" s="9" t="s">
        <v>19</v>
      </c>
      <c r="D77" s="9" t="s">
        <v>20</v>
      </c>
      <c r="E77" s="10">
        <v>7.1</v>
      </c>
      <c r="F77" s="9" t="s">
        <v>13</v>
      </c>
      <c r="G77" s="9" t="s">
        <v>18</v>
      </c>
    </row>
    <row r="78" ht="15.75" customHeight="1">
      <c r="A78" s="2">
        <v>46151.0</v>
      </c>
      <c r="B78" s="9" t="s">
        <v>10</v>
      </c>
      <c r="C78" s="9" t="s">
        <v>15</v>
      </c>
      <c r="D78" s="9" t="s">
        <v>78</v>
      </c>
      <c r="E78" s="10">
        <v>28.28</v>
      </c>
      <c r="F78" s="9" t="s">
        <v>13</v>
      </c>
      <c r="G78" s="9" t="s">
        <v>18</v>
      </c>
    </row>
    <row r="79" ht="15.75" customHeight="1">
      <c r="A79" s="2">
        <v>46155.0</v>
      </c>
      <c r="B79" s="9" t="s">
        <v>7</v>
      </c>
      <c r="C79" s="9" t="s">
        <v>38</v>
      </c>
      <c r="D79" s="9" t="s">
        <v>79</v>
      </c>
      <c r="E79" s="10">
        <v>89.0</v>
      </c>
      <c r="F79" s="11"/>
      <c r="G79" s="9" t="s">
        <v>48</v>
      </c>
    </row>
    <row r="80" ht="15.75" customHeight="1">
      <c r="A80" s="2">
        <v>46151.0</v>
      </c>
      <c r="B80" s="9" t="s">
        <v>10</v>
      </c>
      <c r="C80" s="9" t="s">
        <v>25</v>
      </c>
      <c r="D80" s="9" t="s">
        <v>26</v>
      </c>
      <c r="E80" s="10">
        <v>14.12</v>
      </c>
      <c r="F80" s="9" t="s">
        <v>13</v>
      </c>
      <c r="G80" s="9" t="s">
        <v>18</v>
      </c>
    </row>
    <row r="81" ht="15.75" customHeight="1">
      <c r="A81" s="2">
        <v>46151.0</v>
      </c>
      <c r="B81" s="9" t="s">
        <v>10</v>
      </c>
      <c r="C81" s="9" t="s">
        <v>19</v>
      </c>
      <c r="D81" s="9" t="s">
        <v>80</v>
      </c>
      <c r="E81" s="10">
        <v>109.47</v>
      </c>
      <c r="F81" s="9" t="s">
        <v>13</v>
      </c>
      <c r="G81" s="9" t="s">
        <v>18</v>
      </c>
    </row>
    <row r="82" ht="15.75" customHeight="1">
      <c r="A82" s="2">
        <v>46152.0</v>
      </c>
      <c r="B82" s="9" t="s">
        <v>10</v>
      </c>
      <c r="C82" s="9" t="s">
        <v>35</v>
      </c>
      <c r="D82" s="9" t="s">
        <v>81</v>
      </c>
      <c r="E82" s="10">
        <v>55.0</v>
      </c>
      <c r="F82" s="9" t="s">
        <v>13</v>
      </c>
      <c r="G82" s="9" t="s">
        <v>18</v>
      </c>
    </row>
    <row r="83" ht="15.75" customHeight="1">
      <c r="A83" s="2">
        <v>46152.0</v>
      </c>
      <c r="B83" s="9" t="s">
        <v>10</v>
      </c>
      <c r="C83" s="9" t="s">
        <v>19</v>
      </c>
      <c r="D83" s="9" t="s">
        <v>82</v>
      </c>
      <c r="E83" s="10">
        <v>23.0</v>
      </c>
      <c r="F83" s="9" t="s">
        <v>13</v>
      </c>
      <c r="G83" s="9" t="s">
        <v>18</v>
      </c>
    </row>
    <row r="84" ht="15.75" customHeight="1">
      <c r="A84" s="2">
        <v>46152.0</v>
      </c>
      <c r="B84" s="9" t="s">
        <v>10</v>
      </c>
      <c r="C84" s="9" t="s">
        <v>19</v>
      </c>
      <c r="D84" s="9" t="s">
        <v>83</v>
      </c>
      <c r="E84" s="10">
        <v>10.88</v>
      </c>
      <c r="F84" s="9" t="s">
        <v>13</v>
      </c>
      <c r="G84" s="9" t="s">
        <v>18</v>
      </c>
    </row>
    <row r="85" ht="15.75" customHeight="1">
      <c r="A85" s="2">
        <v>46153.0</v>
      </c>
      <c r="B85" s="9" t="s">
        <v>10</v>
      </c>
      <c r="C85" s="9" t="s">
        <v>19</v>
      </c>
      <c r="D85" s="9" t="s">
        <v>20</v>
      </c>
      <c r="E85" s="10">
        <v>5.1</v>
      </c>
      <c r="F85" s="9" t="s">
        <v>13</v>
      </c>
      <c r="G85" s="9" t="s">
        <v>18</v>
      </c>
    </row>
    <row r="86" ht="15.75" customHeight="1">
      <c r="A86" s="2">
        <v>46154.0</v>
      </c>
      <c r="B86" s="9" t="s">
        <v>10</v>
      </c>
      <c r="C86" s="9" t="s">
        <v>19</v>
      </c>
      <c r="D86" s="9" t="s">
        <v>20</v>
      </c>
      <c r="E86" s="10">
        <v>7.1</v>
      </c>
      <c r="F86" s="9" t="s">
        <v>13</v>
      </c>
      <c r="G86" s="9" t="s">
        <v>18</v>
      </c>
    </row>
    <row r="87" ht="15.75" customHeight="1">
      <c r="A87" s="2">
        <v>46154.0</v>
      </c>
      <c r="B87" s="9" t="s">
        <v>10</v>
      </c>
      <c r="C87" s="9" t="s">
        <v>19</v>
      </c>
      <c r="D87" s="9" t="s">
        <v>46</v>
      </c>
      <c r="E87" s="10">
        <v>19.35</v>
      </c>
      <c r="F87" s="9" t="s">
        <v>13</v>
      </c>
      <c r="G87" s="9" t="s">
        <v>18</v>
      </c>
    </row>
    <row r="88" ht="15.75" customHeight="1">
      <c r="A88" s="2">
        <v>46155.0</v>
      </c>
      <c r="B88" s="9" t="s">
        <v>10</v>
      </c>
      <c r="C88" s="9" t="s">
        <v>19</v>
      </c>
      <c r="D88" s="9" t="s">
        <v>20</v>
      </c>
      <c r="E88" s="10">
        <v>7.1</v>
      </c>
      <c r="F88" s="9" t="s">
        <v>13</v>
      </c>
      <c r="G88" s="9" t="s">
        <v>18</v>
      </c>
    </row>
    <row r="89" ht="15.75" customHeight="1">
      <c r="A89" s="2">
        <v>46156.0</v>
      </c>
      <c r="B89" s="9" t="s">
        <v>10</v>
      </c>
      <c r="C89" s="9" t="s">
        <v>19</v>
      </c>
      <c r="D89" s="9" t="s">
        <v>32</v>
      </c>
      <c r="E89" s="10">
        <v>9.4</v>
      </c>
      <c r="F89" s="9" t="s">
        <v>13</v>
      </c>
      <c r="G89" s="9" t="s">
        <v>18</v>
      </c>
    </row>
    <row r="90" ht="15.75" customHeight="1">
      <c r="A90" s="2">
        <v>46156.0</v>
      </c>
      <c r="B90" s="9" t="s">
        <v>10</v>
      </c>
      <c r="C90" s="9" t="s">
        <v>25</v>
      </c>
      <c r="D90" s="9" t="s">
        <v>26</v>
      </c>
      <c r="E90" s="10">
        <v>16.91</v>
      </c>
      <c r="F90" s="9" t="s">
        <v>13</v>
      </c>
      <c r="G90" s="9" t="s">
        <v>18</v>
      </c>
    </row>
    <row r="91" ht="15.75" customHeight="1">
      <c r="A91" s="2">
        <v>46154.0</v>
      </c>
      <c r="B91" s="9" t="s">
        <v>10</v>
      </c>
      <c r="C91" s="9" t="s">
        <v>19</v>
      </c>
      <c r="D91" s="9" t="s">
        <v>68</v>
      </c>
      <c r="E91" s="10">
        <v>5.3</v>
      </c>
      <c r="F91" s="9" t="s">
        <v>30</v>
      </c>
      <c r="G91" s="9" t="s">
        <v>31</v>
      </c>
    </row>
    <row r="92" ht="15.75" customHeight="1">
      <c r="A92" s="2">
        <v>46153.0</v>
      </c>
      <c r="B92" s="9" t="s">
        <v>10</v>
      </c>
      <c r="C92" s="9" t="s">
        <v>38</v>
      </c>
      <c r="D92" s="9" t="s">
        <v>84</v>
      </c>
      <c r="E92" s="10">
        <v>2.0</v>
      </c>
      <c r="F92" s="9" t="s">
        <v>30</v>
      </c>
      <c r="G92" s="9" t="s">
        <v>31</v>
      </c>
    </row>
    <row r="93" ht="15.75" customHeight="1">
      <c r="A93" s="2">
        <v>46155.0</v>
      </c>
      <c r="B93" s="9" t="s">
        <v>10</v>
      </c>
      <c r="C93" s="9" t="s">
        <v>11</v>
      </c>
      <c r="D93" s="9" t="s">
        <v>85</v>
      </c>
      <c r="E93" s="10">
        <v>22.98</v>
      </c>
      <c r="F93" s="9" t="s">
        <v>30</v>
      </c>
      <c r="G93" s="9" t="s">
        <v>31</v>
      </c>
    </row>
    <row r="94" ht="15.75" customHeight="1">
      <c r="A94" s="2">
        <v>46156.0</v>
      </c>
      <c r="B94" s="9" t="s">
        <v>10</v>
      </c>
      <c r="C94" s="9" t="s">
        <v>86</v>
      </c>
      <c r="D94" s="9" t="s">
        <v>87</v>
      </c>
      <c r="E94" s="10">
        <v>300.0</v>
      </c>
      <c r="F94" s="9" t="s">
        <v>30</v>
      </c>
      <c r="G94" s="9" t="s">
        <v>31</v>
      </c>
    </row>
    <row r="95" ht="15.75" customHeight="1">
      <c r="A95" s="2">
        <v>46159.0</v>
      </c>
      <c r="B95" s="9" t="s">
        <v>10</v>
      </c>
      <c r="C95" s="9" t="s">
        <v>11</v>
      </c>
      <c r="D95" s="9" t="s">
        <v>29</v>
      </c>
      <c r="E95" s="10">
        <v>17.46</v>
      </c>
      <c r="F95" s="9" t="s">
        <v>30</v>
      </c>
      <c r="G95" s="9" t="s">
        <v>31</v>
      </c>
    </row>
    <row r="96" ht="15.75" customHeight="1">
      <c r="A96" s="2">
        <v>46162.0</v>
      </c>
      <c r="B96" s="9" t="s">
        <v>10</v>
      </c>
      <c r="C96" s="9" t="s">
        <v>19</v>
      </c>
      <c r="D96" s="9" t="s">
        <v>88</v>
      </c>
      <c r="E96" s="10">
        <v>7.0</v>
      </c>
      <c r="F96" s="9" t="s">
        <v>30</v>
      </c>
      <c r="G96" s="9" t="s">
        <v>31</v>
      </c>
    </row>
    <row r="97" ht="15.75" customHeight="1">
      <c r="A97" s="2">
        <v>46152.0</v>
      </c>
      <c r="B97" s="9" t="s">
        <v>10</v>
      </c>
      <c r="C97" s="9" t="s">
        <v>21</v>
      </c>
      <c r="D97" s="9" t="s">
        <v>89</v>
      </c>
      <c r="E97" s="10">
        <v>10.38</v>
      </c>
      <c r="F97" s="9" t="s">
        <v>13</v>
      </c>
      <c r="G97" s="9" t="s">
        <v>18</v>
      </c>
    </row>
    <row r="98" ht="15.75" customHeight="1">
      <c r="A98" s="2">
        <v>46157.0</v>
      </c>
      <c r="B98" s="9" t="s">
        <v>10</v>
      </c>
      <c r="C98" s="9" t="s">
        <v>19</v>
      </c>
      <c r="D98" s="9" t="s">
        <v>90</v>
      </c>
      <c r="E98" s="10">
        <v>4.5</v>
      </c>
      <c r="F98" s="9" t="s">
        <v>13</v>
      </c>
      <c r="G98" s="9" t="s">
        <v>18</v>
      </c>
    </row>
    <row r="99" ht="15.75" customHeight="1">
      <c r="A99" s="2">
        <v>46157.0</v>
      </c>
      <c r="B99" s="9" t="s">
        <v>10</v>
      </c>
      <c r="C99" s="9" t="s">
        <v>19</v>
      </c>
      <c r="D99" s="9" t="s">
        <v>46</v>
      </c>
      <c r="E99" s="10">
        <v>18.2</v>
      </c>
      <c r="F99" s="9" t="s">
        <v>13</v>
      </c>
      <c r="G99" s="9" t="s">
        <v>18</v>
      </c>
    </row>
    <row r="100" ht="15.75" customHeight="1">
      <c r="A100" s="2">
        <v>46157.0</v>
      </c>
      <c r="B100" s="9" t="s">
        <v>10</v>
      </c>
      <c r="C100" s="9" t="s">
        <v>15</v>
      </c>
      <c r="D100" s="9" t="s">
        <v>91</v>
      </c>
      <c r="E100" s="10">
        <v>19.0</v>
      </c>
      <c r="F100" s="9" t="s">
        <v>13</v>
      </c>
      <c r="G100" s="9" t="s">
        <v>18</v>
      </c>
    </row>
    <row r="101" ht="15.75" customHeight="1">
      <c r="A101" s="2">
        <v>46157.0</v>
      </c>
      <c r="B101" s="9" t="s">
        <v>10</v>
      </c>
      <c r="C101" s="9" t="s">
        <v>86</v>
      </c>
      <c r="D101" s="9" t="s">
        <v>92</v>
      </c>
      <c r="E101" s="10">
        <v>31.5</v>
      </c>
      <c r="F101" s="9" t="s">
        <v>13</v>
      </c>
      <c r="G101" s="9" t="s">
        <v>18</v>
      </c>
    </row>
    <row r="102" ht="15.75" customHeight="1">
      <c r="A102" s="2">
        <v>46158.0</v>
      </c>
      <c r="B102" s="9" t="s">
        <v>10</v>
      </c>
      <c r="C102" s="9" t="s">
        <v>19</v>
      </c>
      <c r="D102" s="9" t="s">
        <v>93</v>
      </c>
      <c r="E102" s="10">
        <v>16.0</v>
      </c>
      <c r="F102" s="9" t="s">
        <v>13</v>
      </c>
      <c r="G102" s="9" t="s">
        <v>18</v>
      </c>
    </row>
    <row r="103" ht="15.75" customHeight="1">
      <c r="A103" s="2">
        <v>46160.0</v>
      </c>
      <c r="B103" s="6" t="s">
        <v>10</v>
      </c>
      <c r="C103" s="6" t="s">
        <v>11</v>
      </c>
      <c r="D103" s="6" t="s">
        <v>24</v>
      </c>
      <c r="E103" s="7">
        <v>13.98</v>
      </c>
      <c r="F103" s="3" t="s">
        <v>13</v>
      </c>
      <c r="G103" s="3" t="s">
        <v>18</v>
      </c>
    </row>
    <row r="104" ht="15.75" customHeight="1">
      <c r="A104" s="2">
        <v>46160.0</v>
      </c>
      <c r="B104" s="9" t="s">
        <v>10</v>
      </c>
      <c r="C104" s="9" t="s">
        <v>86</v>
      </c>
      <c r="D104" s="9" t="s">
        <v>92</v>
      </c>
      <c r="E104" s="10">
        <v>31.2</v>
      </c>
      <c r="F104" s="9" t="s">
        <v>13</v>
      </c>
      <c r="G104" s="9" t="s">
        <v>18</v>
      </c>
    </row>
    <row r="105" ht="15.75" customHeight="1">
      <c r="A105" s="2">
        <v>46161.0</v>
      </c>
      <c r="B105" s="9" t="s">
        <v>10</v>
      </c>
      <c r="C105" s="9" t="s">
        <v>19</v>
      </c>
      <c r="D105" s="9" t="s">
        <v>20</v>
      </c>
      <c r="E105" s="10">
        <v>6.1</v>
      </c>
      <c r="F105" s="9" t="s">
        <v>13</v>
      </c>
      <c r="G105" s="9" t="s">
        <v>18</v>
      </c>
    </row>
    <row r="106" ht="15.75" customHeight="1">
      <c r="A106" s="2">
        <v>46161.0</v>
      </c>
      <c r="B106" s="9" t="s">
        <v>10</v>
      </c>
      <c r="C106" s="9" t="s">
        <v>19</v>
      </c>
      <c r="D106" s="9" t="s">
        <v>41</v>
      </c>
      <c r="E106" s="10">
        <v>2.7</v>
      </c>
      <c r="F106" s="9" t="s">
        <v>13</v>
      </c>
      <c r="G106" s="9" t="s">
        <v>18</v>
      </c>
    </row>
    <row r="107" ht="15.75" customHeight="1">
      <c r="A107" s="2">
        <v>46161.0</v>
      </c>
      <c r="B107" s="9" t="s">
        <v>10</v>
      </c>
      <c r="C107" s="9" t="s">
        <v>25</v>
      </c>
      <c r="D107" s="9" t="s">
        <v>26</v>
      </c>
      <c r="E107" s="10">
        <v>2.26</v>
      </c>
      <c r="F107" s="9" t="s">
        <v>13</v>
      </c>
      <c r="G107" s="9" t="s">
        <v>18</v>
      </c>
    </row>
    <row r="108" ht="15.75" customHeight="1">
      <c r="A108" s="2">
        <v>46161.0</v>
      </c>
      <c r="B108" s="9" t="s">
        <v>10</v>
      </c>
      <c r="C108" s="9" t="s">
        <v>15</v>
      </c>
      <c r="D108" s="9" t="s">
        <v>94</v>
      </c>
      <c r="E108" s="10">
        <v>8.32</v>
      </c>
      <c r="F108" s="9" t="s">
        <v>13</v>
      </c>
      <c r="G108" s="9" t="s">
        <v>18</v>
      </c>
    </row>
    <row r="109" ht="15.75" customHeight="1">
      <c r="A109" s="2">
        <v>46160.0</v>
      </c>
      <c r="B109" s="9" t="s">
        <v>7</v>
      </c>
      <c r="C109" s="9" t="s">
        <v>8</v>
      </c>
      <c r="D109" s="9" t="s">
        <v>8</v>
      </c>
      <c r="E109" s="10">
        <v>6529.67</v>
      </c>
      <c r="F109" s="9" t="s">
        <v>9</v>
      </c>
    </row>
    <row r="110" ht="15.75" customHeight="1">
      <c r="A110" s="2">
        <v>46158.0</v>
      </c>
      <c r="B110" s="9" t="s">
        <v>10</v>
      </c>
      <c r="C110" s="9" t="s">
        <v>15</v>
      </c>
      <c r="D110" s="9" t="s">
        <v>95</v>
      </c>
      <c r="E110" s="10">
        <v>12.7</v>
      </c>
      <c r="F110" s="9" t="s">
        <v>13</v>
      </c>
      <c r="G110" s="9" t="s">
        <v>14</v>
      </c>
    </row>
    <row r="111" ht="15.75" customHeight="1">
      <c r="A111" s="2">
        <v>46158.0</v>
      </c>
      <c r="B111" s="9" t="s">
        <v>10</v>
      </c>
      <c r="C111" s="9" t="s">
        <v>15</v>
      </c>
      <c r="D111" s="9" t="s">
        <v>95</v>
      </c>
      <c r="E111" s="10">
        <v>3.95</v>
      </c>
      <c r="F111" s="9" t="s">
        <v>13</v>
      </c>
      <c r="G111" s="9" t="s">
        <v>14</v>
      </c>
    </row>
    <row r="112" ht="15.75" customHeight="1">
      <c r="A112" s="2">
        <v>46158.0</v>
      </c>
      <c r="B112" s="9" t="s">
        <v>10</v>
      </c>
      <c r="C112" s="9" t="s">
        <v>19</v>
      </c>
      <c r="D112" s="9" t="s">
        <v>96</v>
      </c>
      <c r="E112" s="10">
        <v>6.62</v>
      </c>
      <c r="F112" s="9" t="s">
        <v>13</v>
      </c>
      <c r="G112" s="9" t="s">
        <v>14</v>
      </c>
    </row>
    <row r="113" ht="15.75" customHeight="1">
      <c r="A113" s="2">
        <v>46158.0</v>
      </c>
      <c r="B113" s="9" t="s">
        <v>10</v>
      </c>
      <c r="C113" s="9" t="s">
        <v>15</v>
      </c>
      <c r="D113" s="9" t="s">
        <v>95</v>
      </c>
      <c r="E113" s="10">
        <v>24.93</v>
      </c>
      <c r="F113" s="9" t="s">
        <v>13</v>
      </c>
      <c r="G113" s="9" t="s">
        <v>14</v>
      </c>
    </row>
    <row r="114" ht="15.75" customHeight="1">
      <c r="A114" s="2">
        <v>46158.0</v>
      </c>
      <c r="B114" s="9" t="s">
        <v>10</v>
      </c>
      <c r="C114" s="9" t="s">
        <v>15</v>
      </c>
      <c r="D114" s="9" t="s">
        <v>95</v>
      </c>
      <c r="E114" s="10">
        <v>39.23</v>
      </c>
      <c r="F114" s="9" t="s">
        <v>13</v>
      </c>
      <c r="G114" s="9" t="s">
        <v>14</v>
      </c>
    </row>
    <row r="115" ht="15.75" customHeight="1">
      <c r="A115" s="2">
        <v>46158.0</v>
      </c>
      <c r="B115" s="9" t="s">
        <v>10</v>
      </c>
      <c r="C115" s="9" t="s">
        <v>19</v>
      </c>
      <c r="D115" s="9" t="s">
        <v>97</v>
      </c>
      <c r="E115" s="10">
        <v>74.81</v>
      </c>
      <c r="F115" s="9" t="s">
        <v>13</v>
      </c>
      <c r="G115" s="9" t="s">
        <v>14</v>
      </c>
    </row>
    <row r="116" ht="15.75" customHeight="1">
      <c r="A116" s="2">
        <v>46158.0</v>
      </c>
      <c r="B116" s="9" t="s">
        <v>10</v>
      </c>
      <c r="C116" s="9" t="s">
        <v>86</v>
      </c>
      <c r="D116" s="9" t="s">
        <v>98</v>
      </c>
      <c r="E116" s="10">
        <v>199.45</v>
      </c>
      <c r="F116" s="9" t="s">
        <v>13</v>
      </c>
      <c r="G116" s="9" t="s">
        <v>14</v>
      </c>
    </row>
    <row r="117" ht="15.75" customHeight="1">
      <c r="A117" s="2">
        <v>46158.0</v>
      </c>
      <c r="B117" s="9" t="s">
        <v>10</v>
      </c>
      <c r="C117" s="9" t="s">
        <v>86</v>
      </c>
      <c r="D117" s="9" t="s">
        <v>99</v>
      </c>
      <c r="E117" s="10">
        <v>1.8</v>
      </c>
      <c r="F117" s="9" t="s">
        <v>13</v>
      </c>
      <c r="G117" s="9" t="s">
        <v>14</v>
      </c>
    </row>
    <row r="118" ht="15.75" customHeight="1">
      <c r="A118" s="2">
        <v>46159.0</v>
      </c>
      <c r="B118" s="9" t="s">
        <v>10</v>
      </c>
      <c r="C118" s="9" t="s">
        <v>11</v>
      </c>
      <c r="D118" s="9" t="s">
        <v>12</v>
      </c>
      <c r="E118" s="10">
        <v>4.99</v>
      </c>
      <c r="F118" s="9" t="s">
        <v>13</v>
      </c>
      <c r="G118" s="9" t="s">
        <v>14</v>
      </c>
    </row>
    <row r="119" ht="15.75" customHeight="1">
      <c r="A119" s="2">
        <v>46159.0</v>
      </c>
      <c r="B119" s="9" t="s">
        <v>10</v>
      </c>
      <c r="C119" s="9" t="s">
        <v>19</v>
      </c>
      <c r="D119" s="9" t="s">
        <v>100</v>
      </c>
      <c r="E119" s="10">
        <v>4.26</v>
      </c>
      <c r="F119" s="9" t="s">
        <v>13</v>
      </c>
      <c r="G119" s="9" t="s">
        <v>14</v>
      </c>
    </row>
    <row r="120" ht="15.75" customHeight="1">
      <c r="A120" s="2">
        <v>46159.0</v>
      </c>
      <c r="B120" s="9" t="s">
        <v>10</v>
      </c>
      <c r="C120" s="9" t="s">
        <v>15</v>
      </c>
      <c r="D120" s="9" t="s">
        <v>101</v>
      </c>
      <c r="E120" s="10">
        <v>49.93</v>
      </c>
      <c r="F120" s="9" t="s">
        <v>13</v>
      </c>
      <c r="G120" s="9" t="s">
        <v>14</v>
      </c>
    </row>
    <row r="121" ht="15.75" customHeight="1">
      <c r="A121" s="2">
        <v>46159.0</v>
      </c>
      <c r="B121" s="9" t="s">
        <v>10</v>
      </c>
      <c r="C121" s="9" t="s">
        <v>19</v>
      </c>
      <c r="D121" s="9" t="s">
        <v>96</v>
      </c>
      <c r="E121" s="10">
        <v>4.36</v>
      </c>
      <c r="F121" s="9" t="s">
        <v>13</v>
      </c>
      <c r="G121" s="9" t="s">
        <v>14</v>
      </c>
    </row>
    <row r="122" ht="15.75" customHeight="1">
      <c r="A122" s="2">
        <v>46159.0</v>
      </c>
      <c r="B122" s="9" t="s">
        <v>10</v>
      </c>
      <c r="C122" s="9" t="s">
        <v>19</v>
      </c>
      <c r="D122" s="9" t="s">
        <v>102</v>
      </c>
      <c r="E122" s="10">
        <v>10.24</v>
      </c>
      <c r="F122" s="9" t="s">
        <v>13</v>
      </c>
      <c r="G122" s="9" t="s">
        <v>14</v>
      </c>
    </row>
    <row r="123" ht="15.75" customHeight="1">
      <c r="A123" s="2">
        <v>46159.0</v>
      </c>
      <c r="B123" s="9" t="s">
        <v>10</v>
      </c>
      <c r="C123" s="9" t="s">
        <v>21</v>
      </c>
      <c r="D123" s="9" t="s">
        <v>103</v>
      </c>
      <c r="E123" s="10">
        <v>36.0</v>
      </c>
      <c r="F123" s="9" t="s">
        <v>13</v>
      </c>
      <c r="G123" s="9" t="s">
        <v>14</v>
      </c>
    </row>
    <row r="124" ht="15.75" customHeight="1">
      <c r="A124" s="2">
        <v>46159.0</v>
      </c>
      <c r="B124" s="9" t="s">
        <v>10</v>
      </c>
      <c r="C124" s="9" t="s">
        <v>15</v>
      </c>
      <c r="D124" s="9" t="s">
        <v>95</v>
      </c>
      <c r="E124" s="10">
        <v>10.24</v>
      </c>
      <c r="F124" s="9" t="s">
        <v>13</v>
      </c>
      <c r="G124" s="9" t="s">
        <v>14</v>
      </c>
    </row>
    <row r="125" ht="15.75" customHeight="1">
      <c r="A125" s="2">
        <v>46159.0</v>
      </c>
      <c r="B125" s="9" t="s">
        <v>10</v>
      </c>
      <c r="C125" s="9" t="s">
        <v>15</v>
      </c>
      <c r="D125" s="9" t="s">
        <v>95</v>
      </c>
      <c r="E125" s="10">
        <v>116.41</v>
      </c>
      <c r="F125" s="9" t="s">
        <v>13</v>
      </c>
      <c r="G125" s="9" t="s">
        <v>14</v>
      </c>
    </row>
    <row r="126" ht="15.75" customHeight="1">
      <c r="A126" s="2">
        <v>46160.0</v>
      </c>
      <c r="B126" s="9" t="s">
        <v>10</v>
      </c>
      <c r="C126" s="9" t="s">
        <v>19</v>
      </c>
      <c r="D126" s="9" t="s">
        <v>96</v>
      </c>
      <c r="E126" s="10">
        <v>23.53</v>
      </c>
      <c r="F126" s="9" t="s">
        <v>13</v>
      </c>
      <c r="G126" s="9" t="s">
        <v>14</v>
      </c>
    </row>
    <row r="127" ht="15.75" customHeight="1">
      <c r="A127" s="2">
        <v>46160.0</v>
      </c>
      <c r="B127" s="9" t="s">
        <v>7</v>
      </c>
      <c r="C127" s="9" t="s">
        <v>38</v>
      </c>
      <c r="D127" s="9" t="s">
        <v>104</v>
      </c>
      <c r="E127" s="10">
        <v>57.51</v>
      </c>
      <c r="F127" s="9" t="s">
        <v>13</v>
      </c>
      <c r="G127" s="9" t="s">
        <v>14</v>
      </c>
    </row>
    <row r="128" ht="15.75" customHeight="1">
      <c r="A128" s="2">
        <v>46163.0</v>
      </c>
      <c r="B128" s="9" t="s">
        <v>10</v>
      </c>
      <c r="C128" s="9" t="s">
        <v>27</v>
      </c>
      <c r="D128" s="9" t="s">
        <v>105</v>
      </c>
      <c r="E128" s="10">
        <v>36.0</v>
      </c>
      <c r="F128" s="9" t="s">
        <v>30</v>
      </c>
      <c r="G128" s="9" t="s">
        <v>31</v>
      </c>
    </row>
    <row r="129" ht="15.75" customHeight="1">
      <c r="A129" s="2">
        <v>46166.0</v>
      </c>
      <c r="B129" s="9" t="s">
        <v>10</v>
      </c>
      <c r="C129" s="9" t="s">
        <v>27</v>
      </c>
      <c r="D129" s="9" t="s">
        <v>106</v>
      </c>
      <c r="E129" s="10">
        <v>46.0</v>
      </c>
      <c r="F129" s="9" t="s">
        <v>30</v>
      </c>
      <c r="G129" s="9" t="s">
        <v>31</v>
      </c>
    </row>
    <row r="130" ht="15.75" customHeight="1">
      <c r="A130" s="2">
        <v>46167.0</v>
      </c>
      <c r="B130" s="9" t="s">
        <v>10</v>
      </c>
      <c r="C130" s="9" t="s">
        <v>38</v>
      </c>
      <c r="D130" s="9" t="s">
        <v>84</v>
      </c>
      <c r="E130" s="10">
        <v>2.0</v>
      </c>
      <c r="F130" s="9" t="s">
        <v>30</v>
      </c>
      <c r="G130" s="9" t="s">
        <v>31</v>
      </c>
    </row>
    <row r="131" ht="15.75" customHeight="1">
      <c r="A131" s="2">
        <v>46169.0</v>
      </c>
      <c r="B131" s="9" t="s">
        <v>10</v>
      </c>
      <c r="C131" s="9" t="s">
        <v>19</v>
      </c>
      <c r="D131" s="9" t="s">
        <v>107</v>
      </c>
      <c r="E131" s="10">
        <v>5.9</v>
      </c>
      <c r="F131" s="9" t="s">
        <v>30</v>
      </c>
      <c r="G131" s="9" t="s">
        <v>31</v>
      </c>
    </row>
    <row r="132" ht="15.75" customHeight="1">
      <c r="A132" s="2">
        <v>46171.0</v>
      </c>
      <c r="B132" s="9" t="s">
        <v>7</v>
      </c>
      <c r="C132" s="9" t="s">
        <v>52</v>
      </c>
      <c r="D132" s="9" t="s">
        <v>108</v>
      </c>
      <c r="E132" s="10">
        <v>24.6</v>
      </c>
      <c r="F132" s="11"/>
      <c r="G132" s="9" t="s">
        <v>31</v>
      </c>
    </row>
    <row r="133" ht="15.75" customHeight="1">
      <c r="A133" s="2">
        <v>46172.0</v>
      </c>
      <c r="B133" s="9" t="s">
        <v>10</v>
      </c>
      <c r="C133" s="9" t="s">
        <v>21</v>
      </c>
      <c r="D133" s="9" t="s">
        <v>71</v>
      </c>
      <c r="E133" s="10">
        <v>35.0</v>
      </c>
      <c r="F133" s="9" t="s">
        <v>30</v>
      </c>
      <c r="G133" s="9" t="s">
        <v>31</v>
      </c>
    </row>
    <row r="134" ht="15.75" customHeight="1">
      <c r="A134" s="2">
        <v>46170.0</v>
      </c>
      <c r="B134" s="9" t="s">
        <v>10</v>
      </c>
      <c r="C134" s="9" t="s">
        <v>109</v>
      </c>
      <c r="D134" s="9" t="s">
        <v>110</v>
      </c>
      <c r="E134" s="10">
        <v>8.88</v>
      </c>
      <c r="F134" s="9" t="s">
        <v>30</v>
      </c>
      <c r="G134" s="9" t="s">
        <v>31</v>
      </c>
    </row>
    <row r="135" ht="15.75" customHeight="1">
      <c r="A135" s="2">
        <v>46168.0</v>
      </c>
      <c r="B135" s="9" t="s">
        <v>10</v>
      </c>
      <c r="C135" s="9" t="s">
        <v>19</v>
      </c>
      <c r="D135" s="9" t="s">
        <v>111</v>
      </c>
      <c r="E135" s="10">
        <v>11.7</v>
      </c>
      <c r="F135" s="9" t="s">
        <v>13</v>
      </c>
      <c r="G135" s="9" t="s">
        <v>33</v>
      </c>
    </row>
    <row r="136" ht="15.75" customHeight="1">
      <c r="A136" s="2">
        <v>46170.0</v>
      </c>
      <c r="B136" s="9" t="s">
        <v>10</v>
      </c>
      <c r="C136" s="9" t="s">
        <v>112</v>
      </c>
      <c r="D136" s="9" t="s">
        <v>113</v>
      </c>
      <c r="E136" s="10">
        <v>1000.0</v>
      </c>
      <c r="F136" s="11"/>
      <c r="G136" s="9" t="s">
        <v>31</v>
      </c>
    </row>
    <row r="137" ht="15.75" customHeight="1">
      <c r="A137" s="2">
        <v>46169.0</v>
      </c>
      <c r="B137" s="9" t="s">
        <v>10</v>
      </c>
      <c r="C137" s="9" t="s">
        <v>25</v>
      </c>
      <c r="D137" s="9" t="s">
        <v>114</v>
      </c>
      <c r="E137" s="10">
        <v>25.61</v>
      </c>
      <c r="F137" s="9" t="s">
        <v>13</v>
      </c>
      <c r="G137" s="9" t="s">
        <v>14</v>
      </c>
    </row>
    <row r="138" ht="15.75" customHeight="1">
      <c r="A138" s="2">
        <v>46169.0</v>
      </c>
      <c r="B138" s="9" t="s">
        <v>10</v>
      </c>
      <c r="C138" s="9" t="s">
        <v>11</v>
      </c>
      <c r="D138" s="9" t="s">
        <v>115</v>
      </c>
      <c r="E138" s="10">
        <v>12.0</v>
      </c>
      <c r="F138" s="9" t="s">
        <v>13</v>
      </c>
      <c r="G138" s="9" t="s">
        <v>14</v>
      </c>
    </row>
    <row r="139" ht="15.75" customHeight="1">
      <c r="A139" s="2">
        <v>46163.0</v>
      </c>
      <c r="B139" s="9" t="s">
        <v>10</v>
      </c>
      <c r="C139" s="9" t="s">
        <v>25</v>
      </c>
      <c r="D139" s="9" t="s">
        <v>26</v>
      </c>
      <c r="E139" s="10">
        <v>16.2</v>
      </c>
      <c r="F139" s="9" t="s">
        <v>13</v>
      </c>
      <c r="G139" s="9" t="s">
        <v>18</v>
      </c>
    </row>
    <row r="140" ht="15.75" customHeight="1">
      <c r="A140" s="2">
        <v>46164.0</v>
      </c>
      <c r="B140" s="9" t="s">
        <v>10</v>
      </c>
      <c r="C140" s="9" t="s">
        <v>19</v>
      </c>
      <c r="D140" s="9" t="s">
        <v>76</v>
      </c>
      <c r="E140" s="10">
        <v>26.0</v>
      </c>
      <c r="F140" s="9" t="s">
        <v>13</v>
      </c>
      <c r="G140" s="9" t="s">
        <v>18</v>
      </c>
    </row>
    <row r="141" ht="15.75" customHeight="1">
      <c r="A141" s="2">
        <v>46165.0</v>
      </c>
      <c r="B141" s="9" t="s">
        <v>10</v>
      </c>
      <c r="C141" s="9" t="s">
        <v>19</v>
      </c>
      <c r="D141" s="9" t="s">
        <v>46</v>
      </c>
      <c r="E141" s="10">
        <v>15.5</v>
      </c>
      <c r="F141" s="9" t="s">
        <v>13</v>
      </c>
      <c r="G141" s="9" t="s">
        <v>18</v>
      </c>
    </row>
    <row r="142" ht="15.75" customHeight="1">
      <c r="A142" s="2">
        <v>46165.0</v>
      </c>
      <c r="B142" s="9" t="s">
        <v>10</v>
      </c>
      <c r="C142" s="9" t="s">
        <v>19</v>
      </c>
      <c r="D142" s="9" t="s">
        <v>116</v>
      </c>
      <c r="E142" s="10">
        <v>54.45</v>
      </c>
      <c r="F142" s="9" t="s">
        <v>13</v>
      </c>
      <c r="G142" s="9" t="s">
        <v>18</v>
      </c>
    </row>
    <row r="143" ht="15.75" customHeight="1">
      <c r="A143" s="2">
        <v>46166.0</v>
      </c>
      <c r="B143" s="9" t="s">
        <v>10</v>
      </c>
      <c r="C143" s="9" t="s">
        <v>19</v>
      </c>
      <c r="D143" s="9" t="s">
        <v>76</v>
      </c>
      <c r="E143" s="10">
        <v>7.5</v>
      </c>
      <c r="F143" s="9" t="s">
        <v>13</v>
      </c>
      <c r="G143" s="9" t="s">
        <v>18</v>
      </c>
    </row>
    <row r="144" ht="15.75" customHeight="1">
      <c r="A144" s="2">
        <v>46166.0</v>
      </c>
      <c r="B144" s="9" t="s">
        <v>10</v>
      </c>
      <c r="C144" s="9" t="s">
        <v>25</v>
      </c>
      <c r="D144" s="9" t="s">
        <v>26</v>
      </c>
      <c r="E144" s="10">
        <v>32.96</v>
      </c>
      <c r="F144" s="9" t="s">
        <v>13</v>
      </c>
      <c r="G144" s="9" t="s">
        <v>18</v>
      </c>
    </row>
    <row r="145" ht="15.75" customHeight="1">
      <c r="A145" s="2">
        <v>46168.0</v>
      </c>
      <c r="B145" s="9" t="s">
        <v>10</v>
      </c>
      <c r="C145" s="9" t="s">
        <v>11</v>
      </c>
      <c r="D145" s="9" t="s">
        <v>44</v>
      </c>
      <c r="E145" s="10">
        <v>17.98</v>
      </c>
      <c r="F145" s="9" t="s">
        <v>13</v>
      </c>
      <c r="G145" s="9" t="s">
        <v>18</v>
      </c>
    </row>
    <row r="146" ht="15.75" customHeight="1">
      <c r="A146" s="2">
        <v>46168.0</v>
      </c>
      <c r="B146" s="9" t="s">
        <v>10</v>
      </c>
      <c r="C146" s="9" t="s">
        <v>19</v>
      </c>
      <c r="D146" s="9" t="s">
        <v>20</v>
      </c>
      <c r="E146" s="10">
        <v>7.8</v>
      </c>
      <c r="F146" s="9" t="s">
        <v>13</v>
      </c>
      <c r="G146" s="9" t="s">
        <v>18</v>
      </c>
    </row>
    <row r="147" ht="15.75" customHeight="1">
      <c r="A147" s="2">
        <v>46170.0</v>
      </c>
      <c r="B147" s="9" t="s">
        <v>10</v>
      </c>
      <c r="C147" s="9" t="s">
        <v>25</v>
      </c>
      <c r="D147" s="9" t="s">
        <v>26</v>
      </c>
      <c r="E147" s="10">
        <v>9.47</v>
      </c>
      <c r="F147" s="9" t="s">
        <v>13</v>
      </c>
      <c r="G147" s="9" t="s">
        <v>18</v>
      </c>
    </row>
    <row r="148" ht="15.75" customHeight="1">
      <c r="A148" s="2">
        <v>46171.0</v>
      </c>
      <c r="B148" s="9" t="s">
        <v>10</v>
      </c>
      <c r="C148" s="9" t="s">
        <v>19</v>
      </c>
      <c r="D148" s="9" t="s">
        <v>46</v>
      </c>
      <c r="E148" s="10">
        <v>16.55</v>
      </c>
      <c r="F148" s="9" t="s">
        <v>13</v>
      </c>
      <c r="G148" s="9" t="s">
        <v>18</v>
      </c>
    </row>
    <row r="149" ht="15.75" customHeight="1">
      <c r="A149" s="2">
        <v>46171.0</v>
      </c>
      <c r="B149" s="9" t="s">
        <v>10</v>
      </c>
      <c r="C149" s="9" t="s">
        <v>19</v>
      </c>
      <c r="D149" s="9" t="s">
        <v>55</v>
      </c>
      <c r="E149" s="10">
        <v>5.8</v>
      </c>
      <c r="F149" s="9" t="s">
        <v>13</v>
      </c>
      <c r="G149" s="9" t="s">
        <v>18</v>
      </c>
    </row>
    <row r="150" ht="15.75" customHeight="1">
      <c r="A150" s="2">
        <v>46173.0</v>
      </c>
      <c r="B150" s="9" t="s">
        <v>10</v>
      </c>
      <c r="C150" s="9" t="s">
        <v>25</v>
      </c>
      <c r="D150" s="9" t="s">
        <v>26</v>
      </c>
      <c r="E150" s="10">
        <v>30.09</v>
      </c>
      <c r="F150" s="9" t="s">
        <v>13</v>
      </c>
      <c r="G150" s="9" t="s">
        <v>18</v>
      </c>
    </row>
    <row r="151" ht="15.75" customHeight="1">
      <c r="B151" s="11"/>
      <c r="C151" s="11"/>
      <c r="E151" s="12"/>
      <c r="F151" s="11"/>
    </row>
    <row r="152" ht="15.75" customHeight="1">
      <c r="B152" s="11"/>
      <c r="C152" s="11"/>
      <c r="E152" s="12"/>
      <c r="F152" s="11"/>
    </row>
    <row r="153" ht="15.75" customHeight="1">
      <c r="B153" s="11"/>
      <c r="C153" s="11"/>
      <c r="E153" s="12"/>
      <c r="F153" s="11"/>
    </row>
    <row r="154" ht="15.75" customHeight="1">
      <c r="B154" s="11"/>
      <c r="C154" s="11"/>
      <c r="E154" s="12"/>
      <c r="F154" s="11"/>
    </row>
    <row r="155" ht="15.75" customHeight="1">
      <c r="B155" s="11"/>
      <c r="C155" s="11"/>
      <c r="E155" s="12"/>
      <c r="F155" s="11"/>
    </row>
    <row r="156" ht="15.75" customHeight="1">
      <c r="B156" s="11"/>
      <c r="C156" s="11"/>
      <c r="E156" s="12"/>
      <c r="F156" s="11"/>
    </row>
    <row r="157" ht="15.75" customHeight="1">
      <c r="B157" s="11"/>
      <c r="C157" s="11"/>
      <c r="E157" s="12"/>
      <c r="F157" s="11"/>
    </row>
    <row r="158" ht="15.75" customHeight="1">
      <c r="B158" s="11"/>
      <c r="C158" s="11"/>
      <c r="E158" s="12"/>
      <c r="F158" s="11"/>
    </row>
    <row r="159" ht="15.75" customHeight="1">
      <c r="B159" s="11"/>
      <c r="C159" s="11"/>
      <c r="E159" s="12"/>
      <c r="F159" s="11"/>
    </row>
    <row r="160" ht="15.75" customHeight="1">
      <c r="B160" s="11"/>
      <c r="C160" s="11"/>
      <c r="E160" s="12"/>
      <c r="F160" s="11"/>
    </row>
    <row r="161" ht="15.75" customHeight="1">
      <c r="B161" s="11"/>
      <c r="C161" s="11"/>
      <c r="E161" s="12"/>
      <c r="F161" s="11"/>
    </row>
    <row r="162" ht="15.75" customHeight="1">
      <c r="B162" s="11"/>
      <c r="C162" s="11"/>
      <c r="E162" s="12"/>
      <c r="F162" s="11"/>
    </row>
    <row r="163" ht="15.75" customHeight="1">
      <c r="B163" s="11"/>
      <c r="C163" s="11"/>
      <c r="E163" s="12"/>
      <c r="F163" s="11"/>
    </row>
    <row r="164" ht="15.75" customHeight="1">
      <c r="B164" s="11"/>
      <c r="C164" s="11"/>
      <c r="E164" s="12"/>
      <c r="F164" s="11"/>
    </row>
    <row r="165" ht="15.75" customHeight="1">
      <c r="B165" s="11"/>
      <c r="C165" s="11"/>
      <c r="E165" s="12"/>
      <c r="F165" s="11"/>
    </row>
    <row r="166" ht="15.75" customHeight="1">
      <c r="B166" s="11"/>
      <c r="C166" s="11"/>
      <c r="E166" s="12"/>
      <c r="F166" s="11"/>
    </row>
    <row r="167" ht="15.75" customHeight="1">
      <c r="B167" s="11"/>
      <c r="C167" s="11"/>
      <c r="E167" s="12"/>
      <c r="F167" s="11"/>
    </row>
    <row r="168" ht="15.75" customHeight="1">
      <c r="B168" s="11"/>
      <c r="C168" s="11"/>
      <c r="E168" s="12"/>
      <c r="F168" s="11"/>
    </row>
    <row r="169" ht="15.75" customHeight="1">
      <c r="B169" s="11"/>
      <c r="C169" s="11"/>
      <c r="E169" s="12"/>
      <c r="F169" s="11"/>
    </row>
    <row r="170" ht="15.75" customHeight="1">
      <c r="B170" s="11"/>
      <c r="C170" s="11"/>
      <c r="E170" s="12"/>
      <c r="F170" s="11"/>
    </row>
    <row r="171" ht="15.75" customHeight="1">
      <c r="B171" s="11"/>
      <c r="C171" s="11"/>
      <c r="E171" s="12"/>
      <c r="F171" s="11"/>
    </row>
    <row r="172" ht="15.75" customHeight="1">
      <c r="B172" s="11"/>
      <c r="C172" s="11"/>
      <c r="E172" s="12"/>
      <c r="F172" s="11"/>
    </row>
    <row r="173" ht="15.75" customHeight="1">
      <c r="B173" s="11"/>
      <c r="C173" s="11"/>
      <c r="E173" s="12"/>
      <c r="F173" s="11"/>
    </row>
    <row r="174" ht="15.75" customHeight="1">
      <c r="B174" s="11"/>
      <c r="C174" s="11"/>
      <c r="E174" s="12"/>
      <c r="F174" s="11"/>
    </row>
    <row r="175" ht="15.75" customHeight="1">
      <c r="B175" s="11"/>
      <c r="C175" s="11"/>
      <c r="E175" s="12"/>
      <c r="F175" s="11"/>
    </row>
    <row r="176" ht="15.75" customHeight="1">
      <c r="B176" s="11"/>
      <c r="C176" s="11"/>
      <c r="E176" s="12"/>
      <c r="F176" s="11"/>
    </row>
    <row r="177" ht="15.75" customHeight="1">
      <c r="B177" s="11"/>
      <c r="C177" s="11"/>
      <c r="E177" s="12"/>
      <c r="F177" s="11"/>
    </row>
    <row r="178" ht="15.75" customHeight="1">
      <c r="B178" s="11"/>
      <c r="C178" s="11"/>
      <c r="E178" s="12"/>
      <c r="F178" s="11"/>
    </row>
    <row r="179" ht="15.75" customHeight="1">
      <c r="B179" s="11"/>
      <c r="C179" s="11"/>
      <c r="E179" s="12"/>
      <c r="F179" s="11"/>
    </row>
    <row r="180" ht="15.75" customHeight="1">
      <c r="B180" s="11"/>
      <c r="C180" s="11"/>
      <c r="E180" s="12"/>
      <c r="F180" s="11"/>
    </row>
    <row r="181" ht="15.75" customHeight="1">
      <c r="B181" s="11"/>
      <c r="C181" s="11"/>
      <c r="E181" s="12"/>
      <c r="F181" s="11"/>
    </row>
    <row r="182" ht="15.75" customHeight="1">
      <c r="B182" s="11"/>
      <c r="C182" s="11"/>
      <c r="E182" s="12"/>
      <c r="F182" s="11"/>
    </row>
    <row r="183" ht="15.75" customHeight="1">
      <c r="B183" s="11"/>
      <c r="C183" s="11"/>
      <c r="E183" s="12"/>
      <c r="F183" s="11"/>
    </row>
    <row r="184" ht="15.75" customHeight="1">
      <c r="B184" s="11"/>
      <c r="C184" s="11"/>
      <c r="E184" s="12"/>
      <c r="F184" s="11"/>
    </row>
    <row r="185" ht="15.75" customHeight="1">
      <c r="B185" s="11"/>
      <c r="C185" s="11"/>
      <c r="E185" s="12"/>
      <c r="F185" s="11"/>
    </row>
    <row r="186" ht="15.75" customHeight="1">
      <c r="B186" s="11"/>
      <c r="C186" s="11"/>
      <c r="E186" s="12"/>
      <c r="F186" s="11"/>
    </row>
    <row r="187" ht="15.75" customHeight="1">
      <c r="B187" s="11"/>
      <c r="C187" s="11"/>
      <c r="E187" s="12"/>
      <c r="F187" s="11"/>
    </row>
    <row r="188" ht="15.75" customHeight="1">
      <c r="B188" s="11"/>
      <c r="C188" s="11"/>
      <c r="E188" s="12"/>
      <c r="F188" s="11"/>
    </row>
    <row r="189" ht="15.75" customHeight="1">
      <c r="B189" s="11"/>
      <c r="C189" s="11"/>
      <c r="E189" s="12"/>
      <c r="F189" s="11"/>
    </row>
    <row r="190" ht="15.75" customHeight="1">
      <c r="B190" s="11"/>
      <c r="C190" s="11"/>
      <c r="E190" s="12"/>
      <c r="F190" s="11"/>
    </row>
    <row r="191" ht="15.75" customHeight="1">
      <c r="B191" s="11"/>
      <c r="C191" s="11"/>
      <c r="E191" s="12"/>
      <c r="F191" s="11"/>
    </row>
    <row r="192" ht="15.75" customHeight="1">
      <c r="B192" s="11"/>
      <c r="C192" s="11"/>
      <c r="E192" s="12"/>
      <c r="F192" s="11"/>
    </row>
    <row r="193" ht="15.75" customHeight="1">
      <c r="B193" s="11"/>
      <c r="C193" s="11"/>
      <c r="E193" s="12"/>
      <c r="F193" s="11"/>
    </row>
    <row r="194" ht="15.75" customHeight="1">
      <c r="B194" s="11"/>
      <c r="C194" s="11"/>
      <c r="E194" s="12"/>
      <c r="F194" s="11"/>
    </row>
    <row r="195" ht="15.75" customHeight="1">
      <c r="B195" s="11"/>
      <c r="C195" s="11"/>
      <c r="E195" s="12"/>
      <c r="F195" s="11"/>
    </row>
    <row r="196" ht="15.75" customHeight="1">
      <c r="B196" s="11"/>
      <c r="C196" s="11"/>
      <c r="E196" s="12"/>
      <c r="F196" s="11"/>
    </row>
    <row r="197" ht="15.75" customHeight="1">
      <c r="B197" s="11"/>
      <c r="C197" s="11"/>
      <c r="E197" s="12"/>
      <c r="F197" s="11"/>
    </row>
    <row r="198" ht="15.75" customHeight="1">
      <c r="B198" s="11"/>
      <c r="C198" s="11"/>
      <c r="E198" s="12"/>
      <c r="F198" s="11"/>
    </row>
    <row r="199" ht="15.75" customHeight="1">
      <c r="B199" s="11"/>
      <c r="C199" s="11"/>
      <c r="E199" s="12"/>
      <c r="F199" s="11"/>
    </row>
    <row r="200" ht="15.75" customHeight="1">
      <c r="B200" s="11"/>
      <c r="C200" s="11"/>
      <c r="E200" s="12"/>
      <c r="F200" s="11"/>
    </row>
    <row r="201" ht="15.75" customHeight="1">
      <c r="B201" s="11"/>
      <c r="C201" s="11"/>
      <c r="E201" s="12"/>
      <c r="F201" s="11"/>
    </row>
    <row r="202" ht="15.75" customHeight="1">
      <c r="B202" s="11"/>
      <c r="C202" s="11"/>
      <c r="E202" s="12"/>
      <c r="F202" s="11"/>
    </row>
    <row r="203" ht="15.75" customHeight="1">
      <c r="B203" s="11"/>
      <c r="C203" s="11"/>
      <c r="E203" s="12"/>
      <c r="F203" s="11"/>
    </row>
    <row r="204" ht="15.75" customHeight="1">
      <c r="B204" s="11"/>
      <c r="C204" s="11"/>
      <c r="E204" s="12"/>
      <c r="F204" s="11"/>
    </row>
    <row r="205" ht="15.75" customHeight="1">
      <c r="B205" s="11"/>
      <c r="C205" s="11"/>
      <c r="E205" s="12"/>
      <c r="F205" s="11"/>
    </row>
    <row r="206" ht="15.75" customHeight="1">
      <c r="B206" s="11"/>
      <c r="C206" s="11"/>
      <c r="E206" s="12"/>
      <c r="F206" s="11"/>
    </row>
    <row r="207" ht="15.75" customHeight="1">
      <c r="B207" s="11"/>
      <c r="C207" s="11"/>
      <c r="E207" s="12"/>
      <c r="F207" s="11"/>
    </row>
    <row r="208" ht="15.75" customHeight="1">
      <c r="B208" s="11"/>
      <c r="C208" s="11"/>
      <c r="E208" s="12"/>
      <c r="F208" s="11"/>
    </row>
    <row r="209" ht="15.75" customHeight="1">
      <c r="B209" s="11"/>
      <c r="C209" s="11"/>
      <c r="E209" s="12"/>
      <c r="F209" s="11"/>
    </row>
    <row r="210" ht="15.75" customHeight="1">
      <c r="B210" s="11"/>
      <c r="C210" s="11"/>
      <c r="E210" s="12"/>
      <c r="F210" s="11"/>
    </row>
    <row r="211" ht="15.75" customHeight="1">
      <c r="B211" s="11"/>
      <c r="C211" s="11"/>
      <c r="E211" s="12"/>
      <c r="F211" s="11"/>
    </row>
    <row r="212" ht="15.75" customHeight="1">
      <c r="B212" s="11"/>
      <c r="C212" s="11"/>
      <c r="E212" s="12"/>
      <c r="F212" s="11"/>
    </row>
    <row r="213" ht="15.75" customHeight="1">
      <c r="B213" s="11"/>
      <c r="C213" s="11"/>
      <c r="E213" s="12"/>
      <c r="F213" s="11"/>
    </row>
    <row r="214" ht="15.75" customHeight="1">
      <c r="B214" s="11"/>
      <c r="C214" s="11"/>
      <c r="E214" s="12"/>
      <c r="F214" s="11"/>
    </row>
    <row r="215" ht="15.75" customHeight="1">
      <c r="B215" s="11"/>
      <c r="C215" s="11"/>
      <c r="E215" s="12"/>
      <c r="F215" s="11"/>
    </row>
    <row r="216" ht="15.75" customHeight="1">
      <c r="B216" s="11"/>
      <c r="C216" s="11"/>
      <c r="E216" s="12"/>
      <c r="F216" s="11"/>
    </row>
    <row r="217" ht="15.75" customHeight="1">
      <c r="B217" s="11"/>
      <c r="C217" s="11"/>
      <c r="E217" s="12"/>
      <c r="F217" s="11"/>
    </row>
    <row r="218" ht="15.75" customHeight="1">
      <c r="B218" s="11"/>
      <c r="C218" s="11"/>
      <c r="E218" s="12"/>
      <c r="F218" s="11"/>
    </row>
    <row r="219" ht="15.75" customHeight="1">
      <c r="B219" s="11"/>
      <c r="C219" s="11"/>
      <c r="E219" s="12"/>
      <c r="F219" s="11"/>
    </row>
    <row r="220" ht="15.75" customHeight="1">
      <c r="B220" s="11"/>
      <c r="C220" s="11"/>
      <c r="E220" s="12"/>
      <c r="F220" s="11"/>
    </row>
    <row r="221" ht="15.75" customHeight="1">
      <c r="B221" s="11"/>
      <c r="C221" s="11"/>
      <c r="E221" s="12"/>
      <c r="F221" s="11"/>
    </row>
    <row r="222" ht="15.75" customHeight="1">
      <c r="B222" s="11"/>
      <c r="C222" s="11"/>
      <c r="E222" s="12"/>
      <c r="F222" s="11"/>
    </row>
    <row r="223" ht="15.75" customHeight="1">
      <c r="B223" s="11"/>
      <c r="C223" s="11"/>
      <c r="E223" s="12"/>
      <c r="F223" s="11"/>
    </row>
    <row r="224" ht="15.75" customHeight="1">
      <c r="B224" s="11"/>
      <c r="C224" s="11"/>
      <c r="E224" s="12"/>
      <c r="F224" s="11"/>
    </row>
    <row r="225" ht="15.75" customHeight="1">
      <c r="B225" s="11"/>
      <c r="C225" s="11"/>
      <c r="E225" s="12"/>
      <c r="F225" s="11"/>
    </row>
    <row r="226" ht="15.75" customHeight="1">
      <c r="B226" s="11"/>
      <c r="C226" s="11"/>
      <c r="E226" s="12"/>
      <c r="F226" s="11"/>
    </row>
    <row r="227" ht="15.75" customHeight="1">
      <c r="B227" s="11"/>
      <c r="C227" s="11"/>
      <c r="E227" s="12"/>
      <c r="F227" s="11"/>
    </row>
    <row r="228" ht="15.75" customHeight="1">
      <c r="B228" s="11"/>
      <c r="C228" s="11"/>
      <c r="E228" s="12"/>
      <c r="F228" s="11"/>
    </row>
    <row r="229" ht="15.75" customHeight="1">
      <c r="B229" s="11"/>
      <c r="C229" s="11"/>
      <c r="E229" s="12"/>
      <c r="F229" s="11"/>
    </row>
    <row r="230" ht="15.75" customHeight="1">
      <c r="B230" s="11"/>
      <c r="C230" s="11"/>
      <c r="E230" s="12"/>
      <c r="F230" s="11"/>
    </row>
    <row r="231" ht="15.75" customHeight="1">
      <c r="B231" s="11"/>
      <c r="C231" s="11"/>
      <c r="E231" s="12"/>
      <c r="F231" s="11"/>
    </row>
    <row r="232" ht="15.75" customHeight="1">
      <c r="B232" s="11"/>
      <c r="C232" s="11"/>
      <c r="F232" s="11"/>
    </row>
    <row r="233" ht="15.75" customHeight="1">
      <c r="B233" s="11"/>
      <c r="C233" s="11"/>
      <c r="F233" s="11"/>
    </row>
    <row r="234" ht="15.75" customHeight="1">
      <c r="B234" s="11"/>
      <c r="C234" s="11"/>
      <c r="F234" s="11"/>
    </row>
    <row r="235" ht="15.75" customHeight="1">
      <c r="B235" s="11"/>
      <c r="C235" s="11"/>
      <c r="F235" s="11"/>
    </row>
    <row r="236" ht="15.75" customHeight="1">
      <c r="B236" s="11"/>
      <c r="C236" s="11"/>
      <c r="F236" s="11"/>
    </row>
    <row r="237" ht="15.75" customHeight="1">
      <c r="B237" s="11"/>
      <c r="C237" s="11"/>
      <c r="F237" s="11"/>
    </row>
    <row r="238" ht="15.75" customHeight="1">
      <c r="B238" s="11"/>
      <c r="C238" s="11"/>
      <c r="F238" s="11"/>
    </row>
    <row r="239" ht="15.75" customHeight="1">
      <c r="B239" s="11"/>
      <c r="C239" s="11"/>
      <c r="F239" s="11"/>
    </row>
    <row r="240" ht="15.75" customHeight="1">
      <c r="B240" s="11"/>
      <c r="C240" s="11"/>
      <c r="F240" s="11"/>
    </row>
    <row r="241" ht="15.75" customHeight="1">
      <c r="B241" s="11"/>
      <c r="C241" s="11"/>
      <c r="F241" s="11"/>
    </row>
    <row r="242" ht="15.75" customHeight="1">
      <c r="B242" s="11"/>
      <c r="C242" s="11"/>
      <c r="F242" s="11"/>
    </row>
    <row r="243" ht="15.75" customHeight="1">
      <c r="B243" s="11"/>
      <c r="C243" s="11"/>
      <c r="F243" s="11"/>
    </row>
    <row r="244" ht="15.75" customHeight="1">
      <c r="B244" s="11"/>
      <c r="C244" s="11"/>
      <c r="F244" s="11"/>
    </row>
    <row r="245" ht="15.75" customHeight="1">
      <c r="B245" s="11"/>
      <c r="C245" s="11"/>
      <c r="F245" s="11"/>
    </row>
    <row r="246" ht="15.75" customHeight="1">
      <c r="B246" s="11"/>
      <c r="C246" s="11"/>
      <c r="F246" s="11"/>
    </row>
    <row r="247" ht="15.75" customHeight="1">
      <c r="B247" s="11"/>
      <c r="C247" s="11"/>
      <c r="F247" s="11"/>
    </row>
    <row r="248" ht="15.75" customHeight="1">
      <c r="B248" s="11"/>
      <c r="C248" s="11"/>
      <c r="F248" s="11"/>
    </row>
    <row r="249" ht="15.75" customHeight="1">
      <c r="B249" s="11"/>
      <c r="C249" s="11"/>
      <c r="F249" s="11"/>
    </row>
    <row r="250" ht="15.75" customHeight="1">
      <c r="B250" s="11"/>
      <c r="C250" s="11"/>
      <c r="F250" s="11"/>
    </row>
    <row r="251" ht="15.75" customHeight="1">
      <c r="B251" s="11"/>
      <c r="C251" s="11"/>
      <c r="F251" s="11"/>
    </row>
    <row r="252" ht="15.75" customHeight="1">
      <c r="B252" s="11"/>
      <c r="C252" s="11"/>
      <c r="F252" s="11"/>
    </row>
    <row r="253" ht="15.75" customHeight="1">
      <c r="B253" s="11"/>
      <c r="C253" s="11"/>
      <c r="F253" s="11"/>
    </row>
    <row r="254" ht="15.75" customHeight="1">
      <c r="B254" s="11"/>
      <c r="C254" s="11"/>
      <c r="F254" s="11"/>
    </row>
    <row r="255" ht="15.75" customHeight="1">
      <c r="B255" s="11"/>
      <c r="C255" s="11"/>
      <c r="F255" s="11"/>
    </row>
    <row r="256" ht="15.75" customHeight="1">
      <c r="B256" s="11"/>
      <c r="C256" s="11"/>
      <c r="F256" s="11"/>
    </row>
    <row r="257" ht="15.75" customHeight="1">
      <c r="B257" s="11"/>
      <c r="C257" s="11"/>
      <c r="F257" s="11"/>
    </row>
    <row r="258" ht="15.75" customHeight="1">
      <c r="B258" s="11"/>
      <c r="C258" s="11"/>
      <c r="F258" s="11"/>
    </row>
    <row r="259" ht="15.75" customHeight="1">
      <c r="B259" s="11"/>
      <c r="C259" s="11"/>
      <c r="F259" s="11"/>
    </row>
    <row r="260" ht="15.75" customHeight="1">
      <c r="B260" s="11"/>
      <c r="C260" s="11"/>
      <c r="F260" s="11"/>
    </row>
    <row r="261" ht="15.75" customHeight="1">
      <c r="B261" s="11"/>
      <c r="C261" s="11"/>
      <c r="F261" s="11"/>
    </row>
    <row r="262" ht="15.75" customHeight="1">
      <c r="B262" s="11"/>
      <c r="C262" s="11"/>
      <c r="F262" s="11"/>
    </row>
    <row r="263" ht="15.75" customHeight="1">
      <c r="B263" s="11"/>
      <c r="C263" s="11"/>
      <c r="F263" s="11"/>
    </row>
    <row r="264" ht="15.75" customHeight="1">
      <c r="B264" s="11"/>
      <c r="C264" s="11"/>
      <c r="F264" s="11"/>
    </row>
    <row r="265" ht="15.75" customHeight="1">
      <c r="B265" s="11"/>
      <c r="C265" s="11"/>
      <c r="F265" s="11"/>
    </row>
    <row r="266" ht="15.75" customHeight="1">
      <c r="B266" s="11"/>
      <c r="C266" s="11"/>
      <c r="F266" s="11"/>
    </row>
    <row r="267" ht="15.75" customHeight="1">
      <c r="B267" s="11"/>
      <c r="C267" s="11"/>
      <c r="F267" s="11"/>
    </row>
    <row r="268" ht="15.75" customHeight="1">
      <c r="B268" s="11"/>
      <c r="C268" s="11"/>
      <c r="F268" s="11"/>
    </row>
    <row r="269" ht="15.75" customHeight="1">
      <c r="B269" s="11"/>
      <c r="C269" s="11"/>
      <c r="F269" s="11"/>
    </row>
    <row r="270" ht="15.75" customHeight="1">
      <c r="B270" s="11"/>
      <c r="C270" s="11"/>
      <c r="F270" s="11"/>
    </row>
    <row r="271" ht="15.75" customHeight="1">
      <c r="B271" s="11"/>
      <c r="C271" s="11"/>
      <c r="F271" s="11"/>
    </row>
    <row r="272" ht="15.75" customHeight="1">
      <c r="B272" s="11"/>
      <c r="C272" s="11"/>
      <c r="F272" s="11"/>
    </row>
    <row r="273" ht="15.75" customHeight="1">
      <c r="B273" s="11"/>
      <c r="C273" s="11"/>
      <c r="F273" s="11"/>
    </row>
    <row r="274" ht="15.75" customHeight="1">
      <c r="B274" s="11"/>
      <c r="C274" s="11"/>
      <c r="F274" s="11"/>
    </row>
    <row r="275" ht="15.75" customHeight="1">
      <c r="B275" s="11"/>
      <c r="C275" s="11"/>
      <c r="F275" s="11"/>
    </row>
    <row r="276" ht="15.75" customHeight="1">
      <c r="B276" s="11"/>
      <c r="C276" s="11"/>
      <c r="F276" s="11"/>
    </row>
    <row r="277" ht="15.75" customHeight="1">
      <c r="B277" s="11"/>
      <c r="C277" s="11"/>
      <c r="F277" s="11"/>
    </row>
    <row r="278" ht="15.75" customHeight="1">
      <c r="B278" s="11"/>
      <c r="C278" s="11"/>
      <c r="F278" s="11"/>
    </row>
    <row r="279" ht="15.75" customHeight="1">
      <c r="B279" s="11"/>
      <c r="C279" s="11"/>
      <c r="F279" s="11"/>
    </row>
    <row r="280" ht="15.75" customHeight="1">
      <c r="B280" s="11"/>
      <c r="C280" s="11"/>
      <c r="F280" s="11"/>
    </row>
    <row r="281" ht="15.75" customHeight="1">
      <c r="B281" s="11"/>
      <c r="C281" s="11"/>
      <c r="F281" s="11"/>
    </row>
    <row r="282" ht="15.75" customHeight="1">
      <c r="B282" s="11"/>
      <c r="C282" s="11"/>
      <c r="F282" s="11"/>
    </row>
    <row r="283" ht="15.75" customHeight="1">
      <c r="B283" s="11"/>
      <c r="C283" s="11"/>
      <c r="F283" s="11"/>
    </row>
    <row r="284" ht="15.75" customHeight="1">
      <c r="B284" s="11"/>
      <c r="C284" s="11"/>
      <c r="F284" s="11"/>
    </row>
    <row r="285" ht="15.75" customHeight="1">
      <c r="B285" s="11"/>
      <c r="C285" s="11"/>
      <c r="F285" s="11"/>
    </row>
    <row r="286" ht="15.75" customHeight="1">
      <c r="B286" s="11"/>
      <c r="C286" s="11"/>
      <c r="F286" s="11"/>
    </row>
    <row r="287" ht="15.75" customHeight="1">
      <c r="B287" s="11"/>
      <c r="C287" s="11"/>
      <c r="F287" s="11"/>
    </row>
    <row r="288" ht="15.75" customHeight="1">
      <c r="B288" s="11"/>
      <c r="C288" s="11"/>
      <c r="F288" s="11"/>
    </row>
    <row r="289" ht="15.75" customHeight="1">
      <c r="B289" s="11"/>
      <c r="C289" s="11"/>
      <c r="F289" s="11"/>
    </row>
    <row r="290" ht="15.75" customHeight="1">
      <c r="B290" s="11"/>
      <c r="C290" s="11"/>
      <c r="F290" s="11"/>
    </row>
    <row r="291" ht="15.75" customHeight="1">
      <c r="B291" s="11"/>
      <c r="C291" s="11"/>
      <c r="F291" s="11"/>
    </row>
    <row r="292" ht="15.75" customHeight="1">
      <c r="B292" s="11"/>
      <c r="C292" s="11"/>
      <c r="F292" s="11"/>
    </row>
    <row r="293" ht="15.75" customHeight="1">
      <c r="B293" s="11"/>
      <c r="C293" s="11"/>
      <c r="F293" s="11"/>
    </row>
    <row r="294" ht="15.75" customHeight="1">
      <c r="B294" s="11"/>
      <c r="C294" s="11"/>
      <c r="F294" s="11"/>
    </row>
    <row r="295" ht="15.75" customHeight="1">
      <c r="B295" s="11"/>
      <c r="C295" s="11"/>
      <c r="F295" s="11"/>
    </row>
    <row r="296" ht="15.75" customHeight="1">
      <c r="B296" s="11"/>
      <c r="C296" s="11"/>
      <c r="F296" s="11"/>
    </row>
    <row r="297" ht="15.75" customHeight="1">
      <c r="B297" s="11"/>
      <c r="C297" s="11"/>
      <c r="F297" s="11"/>
    </row>
    <row r="298" ht="15.75" customHeight="1">
      <c r="B298" s="11"/>
      <c r="C298" s="11"/>
      <c r="F298" s="11"/>
    </row>
    <row r="299" ht="15.75" customHeight="1">
      <c r="B299" s="11"/>
      <c r="C299" s="11"/>
      <c r="F299" s="11"/>
    </row>
    <row r="300" ht="15.75" customHeight="1">
      <c r="B300" s="11"/>
      <c r="C300" s="11"/>
      <c r="F300" s="11"/>
    </row>
    <row r="301" ht="15.75" customHeight="1">
      <c r="B301" s="11"/>
      <c r="C301" s="11"/>
      <c r="F301" s="11"/>
    </row>
    <row r="302" ht="15.75" customHeight="1">
      <c r="B302" s="11"/>
      <c r="C302" s="11"/>
      <c r="F302" s="11"/>
    </row>
    <row r="303" ht="15.75" customHeight="1">
      <c r="B303" s="11"/>
      <c r="C303" s="11"/>
      <c r="F303" s="11"/>
    </row>
    <row r="304" ht="15.75" customHeight="1">
      <c r="B304" s="11"/>
      <c r="C304" s="11"/>
      <c r="F304" s="11"/>
    </row>
    <row r="305" ht="15.75" customHeight="1">
      <c r="B305" s="11"/>
      <c r="C305" s="11"/>
      <c r="F305" s="11"/>
    </row>
    <row r="306" ht="15.75" customHeight="1">
      <c r="B306" s="11"/>
      <c r="C306" s="11"/>
      <c r="F306" s="11"/>
    </row>
    <row r="307" ht="15.75" customHeight="1">
      <c r="B307" s="11"/>
      <c r="C307" s="11"/>
      <c r="F307" s="11"/>
    </row>
    <row r="308" ht="15.75" customHeight="1">
      <c r="B308" s="11"/>
      <c r="C308" s="11"/>
      <c r="F308" s="11"/>
    </row>
    <row r="309" ht="15.75" customHeight="1">
      <c r="B309" s="11"/>
      <c r="C309" s="11"/>
      <c r="F309" s="11"/>
    </row>
    <row r="310" ht="15.75" customHeight="1">
      <c r="B310" s="11"/>
      <c r="C310" s="11"/>
      <c r="F310" s="11"/>
    </row>
    <row r="311" ht="15.75" customHeight="1">
      <c r="B311" s="11"/>
      <c r="C311" s="11"/>
      <c r="F311" s="11"/>
    </row>
    <row r="312" ht="15.75" customHeight="1">
      <c r="B312" s="11"/>
      <c r="C312" s="11"/>
      <c r="F312" s="11"/>
    </row>
    <row r="313" ht="15.75" customHeight="1">
      <c r="B313" s="11"/>
      <c r="C313" s="11"/>
      <c r="F313" s="11"/>
    </row>
    <row r="314" ht="15.75" customHeight="1">
      <c r="B314" s="11"/>
      <c r="C314" s="11"/>
      <c r="F314" s="11"/>
    </row>
    <row r="315" ht="15.75" customHeight="1">
      <c r="B315" s="11"/>
      <c r="C315" s="11"/>
      <c r="F315" s="11"/>
    </row>
    <row r="316" ht="15.75" customHeight="1">
      <c r="B316" s="11"/>
      <c r="C316" s="11"/>
      <c r="F316" s="11"/>
    </row>
    <row r="317" ht="15.75" customHeight="1">
      <c r="B317" s="11"/>
      <c r="C317" s="11"/>
      <c r="F317" s="11"/>
    </row>
    <row r="318" ht="15.75" customHeight="1">
      <c r="B318" s="11"/>
      <c r="C318" s="11"/>
      <c r="F318" s="11"/>
    </row>
    <row r="319" ht="15.75" customHeight="1">
      <c r="B319" s="11"/>
      <c r="C319" s="11"/>
      <c r="F319" s="11"/>
    </row>
    <row r="320" ht="15.75" customHeight="1">
      <c r="B320" s="11"/>
      <c r="C320" s="11"/>
      <c r="F320" s="11"/>
    </row>
    <row r="321" ht="15.75" customHeight="1">
      <c r="B321" s="11"/>
      <c r="C321" s="11"/>
      <c r="F321" s="11"/>
    </row>
    <row r="322" ht="15.75" customHeight="1">
      <c r="B322" s="11"/>
      <c r="C322" s="11"/>
      <c r="F322" s="11"/>
    </row>
    <row r="323" ht="15.75" customHeight="1">
      <c r="B323" s="11"/>
      <c r="C323" s="11"/>
      <c r="F323" s="11"/>
    </row>
    <row r="324" ht="15.75" customHeight="1">
      <c r="B324" s="11"/>
      <c r="C324" s="11"/>
      <c r="F324" s="11"/>
    </row>
    <row r="325" ht="15.75" customHeight="1">
      <c r="B325" s="11"/>
      <c r="C325" s="11"/>
      <c r="F325" s="11"/>
    </row>
    <row r="326" ht="15.75" customHeight="1">
      <c r="B326" s="11"/>
      <c r="C326" s="11"/>
      <c r="F326" s="11"/>
    </row>
    <row r="327" ht="15.75" customHeight="1">
      <c r="B327" s="11"/>
      <c r="C327" s="11"/>
      <c r="F327" s="11"/>
    </row>
    <row r="328" ht="15.75" customHeight="1">
      <c r="B328" s="11"/>
      <c r="C328" s="11"/>
      <c r="F328" s="11"/>
    </row>
    <row r="329" ht="15.75" customHeight="1">
      <c r="B329" s="11"/>
      <c r="C329" s="11"/>
      <c r="F329" s="11"/>
    </row>
    <row r="330" ht="15.75" customHeight="1">
      <c r="B330" s="11"/>
      <c r="C330" s="11"/>
      <c r="F330" s="11"/>
    </row>
    <row r="331" ht="15.75" customHeight="1">
      <c r="B331" s="11"/>
      <c r="C331" s="11"/>
      <c r="F331" s="11"/>
    </row>
    <row r="332" ht="15.75" customHeight="1">
      <c r="B332" s="11"/>
      <c r="C332" s="11"/>
      <c r="F332" s="11"/>
    </row>
    <row r="333" ht="15.75" customHeight="1">
      <c r="B333" s="11"/>
      <c r="C333" s="11"/>
      <c r="F333" s="11"/>
    </row>
    <row r="334" ht="15.75" customHeight="1">
      <c r="B334" s="11"/>
      <c r="C334" s="11"/>
      <c r="F334" s="11"/>
    </row>
    <row r="335" ht="15.75" customHeight="1">
      <c r="B335" s="11"/>
      <c r="C335" s="11"/>
      <c r="F335" s="11"/>
    </row>
    <row r="336" ht="15.75" customHeight="1">
      <c r="B336" s="11"/>
      <c r="C336" s="11"/>
      <c r="F336" s="11"/>
    </row>
    <row r="337" ht="15.75" customHeight="1">
      <c r="B337" s="11"/>
      <c r="C337" s="11"/>
      <c r="F337" s="11"/>
    </row>
    <row r="338" ht="15.75" customHeight="1">
      <c r="B338" s="11"/>
      <c r="C338" s="11"/>
      <c r="F338" s="11"/>
    </row>
    <row r="339" ht="15.75" customHeight="1">
      <c r="B339" s="11"/>
      <c r="C339" s="11"/>
      <c r="F339" s="11"/>
    </row>
    <row r="340" ht="15.75" customHeight="1">
      <c r="B340" s="11"/>
      <c r="C340" s="11"/>
      <c r="F340" s="11"/>
    </row>
    <row r="341" ht="15.75" customHeight="1">
      <c r="B341" s="11"/>
      <c r="C341" s="11"/>
      <c r="F341" s="11"/>
    </row>
    <row r="342" ht="15.75" customHeight="1">
      <c r="B342" s="11"/>
      <c r="C342" s="11"/>
      <c r="F342" s="11"/>
    </row>
    <row r="343" ht="15.75" customHeight="1">
      <c r="B343" s="11"/>
      <c r="C343" s="11"/>
      <c r="F343" s="11"/>
    </row>
    <row r="344" ht="15.75" customHeight="1">
      <c r="B344" s="11"/>
      <c r="C344" s="11"/>
      <c r="F344" s="11"/>
    </row>
    <row r="345" ht="15.75" customHeight="1">
      <c r="B345" s="11"/>
      <c r="C345" s="11"/>
      <c r="F345" s="11"/>
    </row>
    <row r="346" ht="15.75" customHeight="1">
      <c r="B346" s="11"/>
      <c r="C346" s="11"/>
      <c r="F346" s="11"/>
    </row>
    <row r="347" ht="15.75" customHeight="1">
      <c r="B347" s="11"/>
      <c r="C347" s="11"/>
      <c r="F347" s="11"/>
    </row>
    <row r="348" ht="15.75" customHeight="1">
      <c r="B348" s="11"/>
      <c r="C348" s="11"/>
      <c r="F348" s="11"/>
    </row>
    <row r="349" ht="15.75" customHeight="1">
      <c r="B349" s="11"/>
      <c r="C349" s="11"/>
      <c r="F349" s="11"/>
    </row>
    <row r="350" ht="15.75" customHeight="1">
      <c r="B350" s="11"/>
      <c r="C350" s="11"/>
      <c r="F350" s="11"/>
    </row>
    <row r="351" ht="15.75" customHeight="1">
      <c r="B351" s="11"/>
      <c r="C351" s="11"/>
      <c r="F351" s="11"/>
    </row>
    <row r="352" ht="15.75" customHeight="1">
      <c r="B352" s="11"/>
      <c r="C352" s="11"/>
      <c r="F352" s="11"/>
    </row>
    <row r="353" ht="15.75" customHeight="1">
      <c r="B353" s="11"/>
      <c r="C353" s="11"/>
      <c r="F353" s="11"/>
    </row>
    <row r="354" ht="15.75" customHeight="1">
      <c r="B354" s="11"/>
      <c r="C354" s="11"/>
      <c r="F354" s="11"/>
    </row>
    <row r="355" ht="15.75" customHeight="1">
      <c r="B355" s="11"/>
      <c r="C355" s="11"/>
      <c r="F355" s="11"/>
    </row>
    <row r="356" ht="15.75" customHeight="1">
      <c r="B356" s="11"/>
      <c r="C356" s="11"/>
      <c r="F356" s="11"/>
    </row>
    <row r="357" ht="15.75" customHeight="1">
      <c r="B357" s="11"/>
      <c r="C357" s="11"/>
      <c r="F357" s="11"/>
    </row>
    <row r="358" ht="15.75" customHeight="1">
      <c r="B358" s="11"/>
      <c r="C358" s="11"/>
      <c r="F358" s="11"/>
    </row>
    <row r="359" ht="15.75" customHeight="1">
      <c r="B359" s="11"/>
      <c r="C359" s="11"/>
      <c r="F359" s="11"/>
    </row>
    <row r="360" ht="15.75" customHeight="1">
      <c r="B360" s="11"/>
      <c r="C360" s="11"/>
      <c r="F360" s="11"/>
    </row>
    <row r="361" ht="15.75" customHeight="1">
      <c r="B361" s="11"/>
      <c r="C361" s="11"/>
      <c r="F361" s="11"/>
    </row>
    <row r="362" ht="15.75" customHeight="1">
      <c r="B362" s="11"/>
      <c r="C362" s="11"/>
      <c r="F362" s="11"/>
    </row>
    <row r="363" ht="15.75" customHeight="1">
      <c r="B363" s="11"/>
      <c r="C363" s="11"/>
      <c r="F363" s="11"/>
    </row>
    <row r="364" ht="15.75" customHeight="1">
      <c r="B364" s="11"/>
      <c r="C364" s="11"/>
      <c r="F364" s="11"/>
    </row>
    <row r="365" ht="15.75" customHeight="1">
      <c r="B365" s="11"/>
      <c r="C365" s="11"/>
      <c r="F365" s="11"/>
    </row>
    <row r="366" ht="15.75" customHeight="1">
      <c r="B366" s="11"/>
      <c r="C366" s="11"/>
      <c r="F366" s="11"/>
    </row>
    <row r="367" ht="15.75" customHeight="1">
      <c r="B367" s="11"/>
      <c r="C367" s="11"/>
      <c r="F367" s="11"/>
    </row>
    <row r="368" ht="15.75" customHeight="1">
      <c r="B368" s="11"/>
      <c r="C368" s="11"/>
      <c r="F368" s="11"/>
    </row>
    <row r="369" ht="15.75" customHeight="1">
      <c r="B369" s="11"/>
      <c r="C369" s="11"/>
      <c r="F369" s="11"/>
    </row>
    <row r="370" ht="15.75" customHeight="1">
      <c r="B370" s="11"/>
      <c r="C370" s="11"/>
      <c r="F370" s="11"/>
    </row>
    <row r="371" ht="15.75" customHeight="1">
      <c r="B371" s="11"/>
      <c r="C371" s="11"/>
      <c r="F371" s="11"/>
    </row>
    <row r="372" ht="15.75" customHeight="1">
      <c r="B372" s="11"/>
      <c r="C372" s="11"/>
      <c r="F372" s="11"/>
    </row>
    <row r="373" ht="15.75" customHeight="1">
      <c r="B373" s="11"/>
      <c r="C373" s="11"/>
      <c r="F373" s="11"/>
    </row>
    <row r="374" ht="15.75" customHeight="1">
      <c r="B374" s="11"/>
      <c r="C374" s="11"/>
      <c r="F374" s="11"/>
    </row>
    <row r="375" ht="15.75" customHeight="1">
      <c r="B375" s="11"/>
      <c r="C375" s="11"/>
      <c r="F375" s="11"/>
    </row>
    <row r="376" ht="15.75" customHeight="1">
      <c r="B376" s="11"/>
      <c r="C376" s="11"/>
      <c r="F376" s="11"/>
    </row>
    <row r="377" ht="15.75" customHeight="1">
      <c r="B377" s="11"/>
      <c r="C377" s="11"/>
      <c r="F377" s="11"/>
    </row>
    <row r="378" ht="15.75" customHeight="1">
      <c r="B378" s="11"/>
      <c r="C378" s="11"/>
      <c r="F378" s="11"/>
    </row>
    <row r="379" ht="15.75" customHeight="1">
      <c r="B379" s="11"/>
      <c r="C379" s="11"/>
      <c r="F379" s="11"/>
    </row>
    <row r="380" ht="15.75" customHeight="1">
      <c r="B380" s="11"/>
      <c r="C380" s="11"/>
      <c r="F380" s="11"/>
    </row>
    <row r="381" ht="15.75" customHeight="1">
      <c r="B381" s="11"/>
      <c r="C381" s="11"/>
      <c r="F381" s="11"/>
    </row>
    <row r="382" ht="15.75" customHeight="1">
      <c r="B382" s="11"/>
      <c r="C382" s="11"/>
      <c r="F382" s="11"/>
    </row>
    <row r="383" ht="15.75" customHeight="1">
      <c r="B383" s="11"/>
      <c r="C383" s="11"/>
      <c r="F383" s="11"/>
    </row>
    <row r="384" ht="15.75" customHeight="1">
      <c r="B384" s="11"/>
      <c r="C384" s="11"/>
      <c r="F384" s="11"/>
    </row>
    <row r="385" ht="15.75" customHeight="1">
      <c r="B385" s="11"/>
      <c r="C385" s="11"/>
      <c r="F385" s="11"/>
    </row>
    <row r="386" ht="15.75" customHeight="1">
      <c r="B386" s="11"/>
      <c r="C386" s="11"/>
      <c r="F386" s="11"/>
    </row>
    <row r="387" ht="15.75" customHeight="1">
      <c r="B387" s="11"/>
      <c r="C387" s="11"/>
      <c r="F387" s="11"/>
    </row>
    <row r="388" ht="15.75" customHeight="1">
      <c r="B388" s="11"/>
      <c r="C388" s="11"/>
      <c r="F388" s="11"/>
    </row>
    <row r="389" ht="15.75" customHeight="1">
      <c r="B389" s="11"/>
      <c r="C389" s="11"/>
      <c r="F389" s="11"/>
    </row>
    <row r="390" ht="15.75" customHeight="1">
      <c r="B390" s="11"/>
      <c r="C390" s="11"/>
      <c r="F390" s="11"/>
    </row>
    <row r="391" ht="15.75" customHeight="1">
      <c r="B391" s="11"/>
      <c r="C391" s="11"/>
      <c r="F391" s="11"/>
    </row>
    <row r="392" ht="15.75" customHeight="1">
      <c r="B392" s="11"/>
      <c r="C392" s="11"/>
      <c r="F392" s="11"/>
    </row>
    <row r="393" ht="15.75" customHeight="1">
      <c r="B393" s="11"/>
      <c r="C393" s="11"/>
      <c r="F393" s="11"/>
    </row>
    <row r="394" ht="15.75" customHeight="1">
      <c r="B394" s="11"/>
      <c r="C394" s="11"/>
      <c r="F394" s="11"/>
    </row>
    <row r="395" ht="15.75" customHeight="1">
      <c r="B395" s="11"/>
      <c r="C395" s="11"/>
      <c r="F395" s="11"/>
    </row>
    <row r="396" ht="15.75" customHeight="1">
      <c r="B396" s="11"/>
      <c r="C396" s="11"/>
      <c r="F396" s="11"/>
    </row>
    <row r="397" ht="15.75" customHeight="1">
      <c r="B397" s="11"/>
      <c r="C397" s="11"/>
      <c r="F397" s="11"/>
    </row>
    <row r="398" ht="15.75" customHeight="1">
      <c r="B398" s="11"/>
      <c r="C398" s="11"/>
      <c r="F398" s="11"/>
    </row>
    <row r="399" ht="15.75" customHeight="1">
      <c r="B399" s="11"/>
      <c r="C399" s="11"/>
      <c r="F399" s="11"/>
    </row>
    <row r="400" ht="15.75" customHeight="1">
      <c r="B400" s="11"/>
      <c r="C400" s="11"/>
      <c r="F400" s="11"/>
    </row>
    <row r="401" ht="15.75" customHeight="1">
      <c r="B401" s="11"/>
      <c r="C401" s="11"/>
      <c r="F401" s="11"/>
    </row>
    <row r="402" ht="15.75" customHeight="1">
      <c r="B402" s="11"/>
      <c r="C402" s="11"/>
      <c r="F402" s="11"/>
    </row>
    <row r="403" ht="15.75" customHeight="1">
      <c r="B403" s="11"/>
      <c r="C403" s="11"/>
      <c r="F403" s="11"/>
    </row>
    <row r="404" ht="15.75" customHeight="1">
      <c r="B404" s="11"/>
      <c r="C404" s="11"/>
      <c r="F404" s="11"/>
    </row>
    <row r="405" ht="15.75" customHeight="1">
      <c r="B405" s="11"/>
      <c r="C405" s="11"/>
      <c r="F405" s="11"/>
    </row>
    <row r="406" ht="15.75" customHeight="1">
      <c r="B406" s="11"/>
      <c r="C406" s="11"/>
      <c r="F406" s="11"/>
    </row>
    <row r="407" ht="15.75" customHeight="1">
      <c r="B407" s="11"/>
      <c r="C407" s="11"/>
      <c r="F407" s="11"/>
    </row>
    <row r="408" ht="15.75" customHeight="1">
      <c r="B408" s="11"/>
      <c r="C408" s="11"/>
      <c r="F408" s="11"/>
    </row>
    <row r="409" ht="15.75" customHeight="1">
      <c r="B409" s="11"/>
      <c r="C409" s="11"/>
      <c r="F409" s="11"/>
    </row>
    <row r="410" ht="15.75" customHeight="1">
      <c r="B410" s="11"/>
      <c r="C410" s="11"/>
      <c r="F410" s="11"/>
    </row>
    <row r="411" ht="15.75" customHeight="1">
      <c r="B411" s="11"/>
      <c r="C411" s="11"/>
      <c r="F411" s="11"/>
    </row>
    <row r="412" ht="15.75" customHeight="1">
      <c r="B412" s="11"/>
      <c r="C412" s="11"/>
      <c r="F412" s="11"/>
    </row>
    <row r="413" ht="15.75" customHeight="1">
      <c r="B413" s="11"/>
      <c r="C413" s="11"/>
      <c r="F413" s="11"/>
    </row>
    <row r="414" ht="15.75" customHeight="1">
      <c r="B414" s="11"/>
      <c r="C414" s="11"/>
      <c r="F414" s="11"/>
    </row>
    <row r="415" ht="15.75" customHeight="1">
      <c r="B415" s="11"/>
      <c r="C415" s="11"/>
      <c r="F415" s="11"/>
    </row>
    <row r="416" ht="15.75" customHeight="1">
      <c r="B416" s="11"/>
      <c r="C416" s="11"/>
      <c r="F416" s="11"/>
    </row>
    <row r="417" ht="15.75" customHeight="1">
      <c r="B417" s="11"/>
      <c r="C417" s="11"/>
      <c r="F417" s="11"/>
    </row>
    <row r="418" ht="15.75" customHeight="1">
      <c r="B418" s="11"/>
      <c r="C418" s="11"/>
      <c r="F418" s="11"/>
    </row>
    <row r="419" ht="15.75" customHeight="1">
      <c r="B419" s="11"/>
      <c r="C419" s="11"/>
      <c r="F419" s="11"/>
    </row>
    <row r="420" ht="15.75" customHeight="1">
      <c r="B420" s="11"/>
      <c r="C420" s="11"/>
      <c r="F420" s="11"/>
    </row>
    <row r="421" ht="15.75" customHeight="1">
      <c r="B421" s="11"/>
      <c r="C421" s="11"/>
      <c r="F421" s="11"/>
    </row>
    <row r="422" ht="15.75" customHeight="1">
      <c r="B422" s="11"/>
      <c r="C422" s="11"/>
      <c r="F422" s="11"/>
    </row>
    <row r="423" ht="15.75" customHeight="1">
      <c r="B423" s="11"/>
      <c r="C423" s="11"/>
      <c r="F423" s="11"/>
    </row>
    <row r="424" ht="15.75" customHeight="1">
      <c r="B424" s="11"/>
      <c r="C424" s="11"/>
      <c r="F424" s="11"/>
    </row>
    <row r="425" ht="15.75" customHeight="1">
      <c r="B425" s="11"/>
      <c r="C425" s="11"/>
      <c r="F425" s="11"/>
    </row>
    <row r="426" ht="15.75" customHeight="1">
      <c r="B426" s="11"/>
      <c r="C426" s="11"/>
      <c r="F426" s="11"/>
    </row>
    <row r="427" ht="15.75" customHeight="1">
      <c r="B427" s="11"/>
      <c r="C427" s="11"/>
      <c r="F427" s="11"/>
    </row>
    <row r="428" ht="15.75" customHeight="1">
      <c r="B428" s="11"/>
      <c r="C428" s="11"/>
      <c r="F428" s="11"/>
    </row>
    <row r="429" ht="15.75" customHeight="1">
      <c r="B429" s="11"/>
      <c r="C429" s="11"/>
      <c r="F429" s="11"/>
    </row>
    <row r="430" ht="15.75" customHeight="1">
      <c r="B430" s="11"/>
      <c r="C430" s="11"/>
      <c r="F430" s="11"/>
    </row>
    <row r="431" ht="15.75" customHeight="1">
      <c r="B431" s="11"/>
      <c r="C431" s="11"/>
      <c r="F431" s="11"/>
    </row>
    <row r="432" ht="15.75" customHeight="1">
      <c r="B432" s="11"/>
      <c r="C432" s="11"/>
      <c r="F432" s="11"/>
    </row>
    <row r="433" ht="15.75" customHeight="1">
      <c r="B433" s="11"/>
      <c r="C433" s="11"/>
      <c r="F433" s="11"/>
    </row>
    <row r="434" ht="15.75" customHeight="1">
      <c r="B434" s="11"/>
      <c r="C434" s="11"/>
      <c r="F434" s="11"/>
    </row>
    <row r="435" ht="15.75" customHeight="1">
      <c r="B435" s="11"/>
      <c r="C435" s="11"/>
      <c r="F435" s="11"/>
    </row>
    <row r="436" ht="15.75" customHeight="1">
      <c r="B436" s="11"/>
      <c r="C436" s="11"/>
      <c r="F436" s="11"/>
    </row>
    <row r="437" ht="15.75" customHeight="1">
      <c r="B437" s="11"/>
      <c r="C437" s="11"/>
      <c r="F437" s="11"/>
    </row>
    <row r="438" ht="15.75" customHeight="1">
      <c r="B438" s="11"/>
      <c r="C438" s="11"/>
      <c r="F438" s="11"/>
    </row>
    <row r="439" ht="15.75" customHeight="1">
      <c r="B439" s="11"/>
      <c r="C439" s="11"/>
      <c r="F439" s="11"/>
    </row>
    <row r="440" ht="15.75" customHeight="1">
      <c r="B440" s="11"/>
      <c r="C440" s="11"/>
      <c r="F440" s="11"/>
    </row>
    <row r="441" ht="15.75" customHeight="1">
      <c r="B441" s="11"/>
      <c r="C441" s="11"/>
      <c r="F441" s="11"/>
    </row>
    <row r="442" ht="15.75" customHeight="1">
      <c r="B442" s="11"/>
      <c r="C442" s="11"/>
      <c r="F442" s="11"/>
    </row>
    <row r="443" ht="15.75" customHeight="1">
      <c r="B443" s="11"/>
      <c r="C443" s="11"/>
      <c r="F443" s="11"/>
    </row>
    <row r="444" ht="15.75" customHeight="1">
      <c r="B444" s="11"/>
      <c r="C444" s="11"/>
      <c r="F444" s="11"/>
    </row>
    <row r="445" ht="15.75" customHeight="1">
      <c r="B445" s="11"/>
      <c r="C445" s="11"/>
      <c r="F445" s="11"/>
    </row>
    <row r="446" ht="15.75" customHeight="1">
      <c r="B446" s="11"/>
      <c r="C446" s="11"/>
      <c r="F446" s="11"/>
    </row>
    <row r="447" ht="15.75" customHeight="1">
      <c r="B447" s="11"/>
      <c r="C447" s="11"/>
      <c r="F447" s="11"/>
    </row>
    <row r="448" ht="15.75" customHeight="1">
      <c r="B448" s="11"/>
      <c r="C448" s="11"/>
      <c r="F448" s="11"/>
    </row>
    <row r="449" ht="15.75" customHeight="1">
      <c r="B449" s="11"/>
      <c r="C449" s="11"/>
      <c r="F449" s="11"/>
    </row>
    <row r="450" ht="15.75" customHeight="1">
      <c r="B450" s="11"/>
      <c r="C450" s="11"/>
      <c r="F450" s="11"/>
    </row>
    <row r="451" ht="15.75" customHeight="1">
      <c r="B451" s="11"/>
      <c r="C451" s="11"/>
      <c r="F451" s="11"/>
    </row>
    <row r="452" ht="15.75" customHeight="1">
      <c r="B452" s="11"/>
      <c r="C452" s="11"/>
      <c r="F452" s="11"/>
    </row>
    <row r="453" ht="15.75" customHeight="1">
      <c r="B453" s="11"/>
      <c r="C453" s="11"/>
      <c r="F453" s="11"/>
    </row>
    <row r="454" ht="15.75" customHeight="1">
      <c r="B454" s="11"/>
      <c r="C454" s="11"/>
      <c r="F454" s="11"/>
    </row>
    <row r="455" ht="15.75" customHeight="1">
      <c r="B455" s="11"/>
      <c r="C455" s="11"/>
      <c r="F455" s="11"/>
    </row>
    <row r="456" ht="15.75" customHeight="1">
      <c r="B456" s="11"/>
      <c r="C456" s="11"/>
      <c r="F456" s="11"/>
    </row>
    <row r="457" ht="15.75" customHeight="1">
      <c r="B457" s="11"/>
      <c r="C457" s="11"/>
      <c r="F457" s="11"/>
    </row>
    <row r="458" ht="15.75" customHeight="1">
      <c r="B458" s="11"/>
      <c r="C458" s="11"/>
      <c r="F458" s="11"/>
    </row>
    <row r="459" ht="15.75" customHeight="1">
      <c r="B459" s="11"/>
      <c r="C459" s="11"/>
      <c r="F459" s="11"/>
    </row>
    <row r="460" ht="15.75" customHeight="1">
      <c r="B460" s="11"/>
      <c r="C460" s="11"/>
      <c r="F460" s="11"/>
    </row>
    <row r="461" ht="15.75" customHeight="1">
      <c r="B461" s="11"/>
      <c r="C461" s="11"/>
      <c r="F461" s="11"/>
    </row>
    <row r="462" ht="15.75" customHeight="1">
      <c r="B462" s="11"/>
      <c r="C462" s="11"/>
      <c r="F462" s="11"/>
    </row>
    <row r="463" ht="15.75" customHeight="1">
      <c r="B463" s="11"/>
      <c r="C463" s="11"/>
      <c r="F463" s="11"/>
    </row>
    <row r="464" ht="15.75" customHeight="1">
      <c r="B464" s="11"/>
      <c r="C464" s="11"/>
      <c r="F464" s="11"/>
    </row>
    <row r="465" ht="15.75" customHeight="1">
      <c r="B465" s="11"/>
      <c r="C465" s="11"/>
      <c r="F465" s="11"/>
    </row>
    <row r="466" ht="15.75" customHeight="1">
      <c r="B466" s="11"/>
      <c r="C466" s="11"/>
      <c r="F466" s="11"/>
    </row>
    <row r="467" ht="15.75" customHeight="1">
      <c r="B467" s="11"/>
      <c r="C467" s="11"/>
      <c r="F467" s="11"/>
    </row>
    <row r="468" ht="15.75" customHeight="1">
      <c r="B468" s="11"/>
      <c r="C468" s="11"/>
      <c r="F468" s="11"/>
    </row>
    <row r="469" ht="15.75" customHeight="1">
      <c r="B469" s="11"/>
      <c r="C469" s="11"/>
      <c r="F469" s="11"/>
    </row>
    <row r="470" ht="15.75" customHeight="1">
      <c r="B470" s="11"/>
      <c r="C470" s="11"/>
      <c r="F470" s="11"/>
    </row>
    <row r="471" ht="15.75" customHeight="1">
      <c r="B471" s="11"/>
      <c r="C471" s="11"/>
      <c r="F471" s="11"/>
    </row>
    <row r="472" ht="15.75" customHeight="1">
      <c r="B472" s="11"/>
      <c r="C472" s="11"/>
      <c r="F472" s="11"/>
    </row>
    <row r="473" ht="15.75" customHeight="1">
      <c r="B473" s="11"/>
      <c r="C473" s="11"/>
      <c r="F473" s="11"/>
    </row>
    <row r="474" ht="15.75" customHeight="1">
      <c r="B474" s="11"/>
      <c r="C474" s="11"/>
      <c r="F474" s="11"/>
    </row>
    <row r="475" ht="15.75" customHeight="1">
      <c r="B475" s="11"/>
      <c r="C475" s="11"/>
      <c r="F475" s="11"/>
    </row>
    <row r="476" ht="15.75" customHeight="1">
      <c r="B476" s="11"/>
      <c r="C476" s="11"/>
      <c r="F476" s="11"/>
    </row>
    <row r="477" ht="15.75" customHeight="1">
      <c r="B477" s="11"/>
      <c r="C477" s="11"/>
      <c r="F477" s="11"/>
    </row>
    <row r="478" ht="15.75" customHeight="1">
      <c r="B478" s="11"/>
      <c r="C478" s="11"/>
      <c r="F478" s="11"/>
    </row>
    <row r="479" ht="15.75" customHeight="1">
      <c r="B479" s="11"/>
      <c r="C479" s="11"/>
      <c r="F479" s="11"/>
    </row>
    <row r="480" ht="15.75" customHeight="1">
      <c r="B480" s="11"/>
      <c r="C480" s="11"/>
      <c r="F480" s="11"/>
    </row>
    <row r="481" ht="15.75" customHeight="1">
      <c r="B481" s="11"/>
      <c r="C481" s="11"/>
      <c r="F481" s="11"/>
    </row>
    <row r="482" ht="15.75" customHeight="1">
      <c r="B482" s="11"/>
      <c r="C482" s="11"/>
      <c r="F482" s="11"/>
    </row>
    <row r="483" ht="15.75" customHeight="1">
      <c r="B483" s="11"/>
      <c r="C483" s="11"/>
      <c r="F483" s="11"/>
    </row>
    <row r="484" ht="15.75" customHeight="1">
      <c r="B484" s="11"/>
      <c r="C484" s="11"/>
      <c r="F484" s="11"/>
    </row>
    <row r="485" ht="15.75" customHeight="1">
      <c r="B485" s="11"/>
      <c r="C485" s="11"/>
      <c r="F485" s="11"/>
    </row>
    <row r="486" ht="15.75" customHeight="1">
      <c r="B486" s="11"/>
      <c r="C486" s="11"/>
      <c r="F486" s="11"/>
    </row>
    <row r="487" ht="15.75" customHeight="1">
      <c r="B487" s="11"/>
      <c r="C487" s="11"/>
      <c r="F487" s="11"/>
    </row>
    <row r="488" ht="15.75" customHeight="1">
      <c r="B488" s="11"/>
      <c r="C488" s="11"/>
      <c r="F488" s="11"/>
    </row>
    <row r="489" ht="15.75" customHeight="1">
      <c r="B489" s="11"/>
      <c r="C489" s="11"/>
      <c r="F489" s="11"/>
    </row>
    <row r="490" ht="15.75" customHeight="1">
      <c r="B490" s="11"/>
      <c r="C490" s="11"/>
      <c r="F490" s="11"/>
    </row>
    <row r="491" ht="15.75" customHeight="1">
      <c r="B491" s="11"/>
      <c r="C491" s="11"/>
      <c r="F491" s="11"/>
    </row>
    <row r="492" ht="15.75" customHeight="1">
      <c r="B492" s="11"/>
      <c r="C492" s="11"/>
      <c r="F492" s="11"/>
    </row>
    <row r="493" ht="15.75" customHeight="1">
      <c r="B493" s="11"/>
      <c r="C493" s="11"/>
      <c r="F493" s="11"/>
    </row>
    <row r="494" ht="15.75" customHeight="1">
      <c r="B494" s="11"/>
      <c r="C494" s="11"/>
      <c r="F494" s="11"/>
    </row>
    <row r="495" ht="15.75" customHeight="1">
      <c r="B495" s="11"/>
      <c r="C495" s="11"/>
      <c r="F495" s="11"/>
    </row>
    <row r="496" ht="15.75" customHeight="1">
      <c r="B496" s="11"/>
      <c r="C496" s="11"/>
      <c r="F496" s="11"/>
    </row>
    <row r="497" ht="15.75" customHeight="1">
      <c r="B497" s="11"/>
      <c r="C497" s="11"/>
      <c r="F497" s="11"/>
    </row>
    <row r="498" ht="15.75" customHeight="1">
      <c r="B498" s="11"/>
      <c r="C498" s="11"/>
      <c r="F498" s="11"/>
    </row>
    <row r="499" ht="15.75" customHeight="1">
      <c r="B499" s="11"/>
      <c r="C499" s="11"/>
      <c r="F499" s="11"/>
    </row>
    <row r="500" ht="15.75" customHeight="1">
      <c r="B500" s="11"/>
      <c r="C500" s="11"/>
      <c r="F500" s="11"/>
    </row>
    <row r="501" ht="15.75" customHeight="1">
      <c r="B501" s="11"/>
      <c r="C501" s="11"/>
      <c r="F501" s="11"/>
    </row>
    <row r="502" ht="15.75" customHeight="1">
      <c r="B502" s="11"/>
      <c r="C502" s="11"/>
      <c r="F502" s="11"/>
    </row>
    <row r="503" ht="15.75" customHeight="1">
      <c r="B503" s="11"/>
      <c r="C503" s="11"/>
      <c r="F503" s="11"/>
    </row>
    <row r="504" ht="15.75" customHeight="1">
      <c r="B504" s="11"/>
      <c r="C504" s="11"/>
      <c r="F504" s="11"/>
    </row>
    <row r="505" ht="15.75" customHeight="1">
      <c r="B505" s="11"/>
      <c r="C505" s="11"/>
      <c r="F505" s="11"/>
    </row>
    <row r="506" ht="15.75" customHeight="1">
      <c r="B506" s="11"/>
      <c r="C506" s="11"/>
      <c r="F506" s="11"/>
    </row>
    <row r="507" ht="15.75" customHeight="1">
      <c r="B507" s="11"/>
      <c r="C507" s="11"/>
      <c r="F507" s="11"/>
    </row>
    <row r="508" ht="15.75" customHeight="1">
      <c r="B508" s="11"/>
      <c r="C508" s="11"/>
      <c r="F508" s="11"/>
    </row>
    <row r="509" ht="15.75" customHeight="1">
      <c r="B509" s="11"/>
      <c r="C509" s="11"/>
      <c r="F509" s="11"/>
    </row>
    <row r="510" ht="15.75" customHeight="1">
      <c r="B510" s="11"/>
      <c r="C510" s="11"/>
      <c r="F510" s="11"/>
    </row>
    <row r="511" ht="15.75" customHeight="1">
      <c r="B511" s="11"/>
      <c r="C511" s="11"/>
      <c r="F511" s="11"/>
    </row>
    <row r="512" ht="15.75" customHeight="1">
      <c r="B512" s="11"/>
      <c r="C512" s="11"/>
      <c r="F512" s="11"/>
    </row>
    <row r="513" ht="15.75" customHeight="1">
      <c r="B513" s="11"/>
      <c r="C513" s="11"/>
      <c r="F513" s="11"/>
    </row>
    <row r="514" ht="15.75" customHeight="1">
      <c r="B514" s="11"/>
      <c r="C514" s="11"/>
      <c r="F514" s="11"/>
    </row>
    <row r="515" ht="15.75" customHeight="1">
      <c r="B515" s="11"/>
      <c r="C515" s="11"/>
      <c r="F515" s="11"/>
    </row>
    <row r="516" ht="15.75" customHeight="1">
      <c r="B516" s="11"/>
      <c r="C516" s="11"/>
      <c r="F516" s="11"/>
    </row>
    <row r="517" ht="15.75" customHeight="1">
      <c r="B517" s="11"/>
      <c r="C517" s="11"/>
      <c r="F517" s="11"/>
    </row>
    <row r="518" ht="15.75" customHeight="1">
      <c r="B518" s="11"/>
      <c r="C518" s="11"/>
      <c r="F518" s="11"/>
    </row>
    <row r="519" ht="15.75" customHeight="1">
      <c r="B519" s="11"/>
      <c r="C519" s="11"/>
      <c r="F519" s="11"/>
    </row>
    <row r="520" ht="15.75" customHeight="1">
      <c r="B520" s="11"/>
      <c r="C520" s="11"/>
      <c r="F520" s="11"/>
    </row>
    <row r="521" ht="15.75" customHeight="1">
      <c r="B521" s="11"/>
      <c r="C521" s="11"/>
      <c r="F521" s="11"/>
    </row>
    <row r="522" ht="15.75" customHeight="1">
      <c r="B522" s="11"/>
      <c r="C522" s="11"/>
      <c r="F522" s="11"/>
    </row>
    <row r="523" ht="15.75" customHeight="1">
      <c r="B523" s="11"/>
      <c r="C523" s="11"/>
      <c r="F523" s="11"/>
    </row>
    <row r="524" ht="15.75" customHeight="1">
      <c r="B524" s="11"/>
      <c r="C524" s="11"/>
      <c r="F524" s="11"/>
    </row>
    <row r="525" ht="15.75" customHeight="1">
      <c r="B525" s="11"/>
      <c r="C525" s="11"/>
      <c r="F525" s="11"/>
    </row>
    <row r="526" ht="15.75" customHeight="1">
      <c r="B526" s="11"/>
      <c r="C526" s="11"/>
      <c r="F526" s="11"/>
    </row>
    <row r="527" ht="15.75" customHeight="1">
      <c r="B527" s="11"/>
      <c r="C527" s="11"/>
      <c r="F527" s="11"/>
    </row>
    <row r="528" ht="15.75" customHeight="1">
      <c r="B528" s="11"/>
      <c r="C528" s="11"/>
      <c r="F528" s="11"/>
    </row>
    <row r="529" ht="15.75" customHeight="1">
      <c r="B529" s="11"/>
      <c r="C529" s="11"/>
      <c r="F529" s="11"/>
    </row>
    <row r="530" ht="15.75" customHeight="1">
      <c r="B530" s="11"/>
      <c r="C530" s="11"/>
      <c r="F530" s="11"/>
    </row>
    <row r="531" ht="15.75" customHeight="1">
      <c r="B531" s="11"/>
      <c r="C531" s="11"/>
      <c r="F531" s="11"/>
    </row>
    <row r="532" ht="15.75" customHeight="1">
      <c r="B532" s="11"/>
      <c r="C532" s="11"/>
      <c r="F532" s="11"/>
    </row>
    <row r="533" ht="15.75" customHeight="1">
      <c r="B533" s="11"/>
      <c r="C533" s="11"/>
      <c r="F533" s="11"/>
    </row>
    <row r="534" ht="15.75" customHeight="1">
      <c r="B534" s="11"/>
      <c r="C534" s="11"/>
      <c r="F534" s="11"/>
    </row>
    <row r="535" ht="15.75" customHeight="1">
      <c r="B535" s="11"/>
      <c r="C535" s="11"/>
      <c r="F535" s="11"/>
    </row>
    <row r="536" ht="15.75" customHeight="1">
      <c r="B536" s="11"/>
      <c r="C536" s="11"/>
      <c r="F536" s="11"/>
    </row>
    <row r="537" ht="15.75" customHeight="1">
      <c r="B537" s="11"/>
      <c r="C537" s="11"/>
      <c r="F537" s="11"/>
    </row>
    <row r="538" ht="15.75" customHeight="1">
      <c r="B538" s="11"/>
      <c r="C538" s="11"/>
      <c r="F538" s="11"/>
    </row>
    <row r="539" ht="15.75" customHeight="1">
      <c r="B539" s="11"/>
      <c r="C539" s="11"/>
      <c r="F539" s="11"/>
    </row>
    <row r="540" ht="15.75" customHeight="1">
      <c r="B540" s="11"/>
      <c r="C540" s="11"/>
      <c r="F540" s="11"/>
    </row>
    <row r="541" ht="15.75" customHeight="1">
      <c r="B541" s="11"/>
      <c r="C541" s="11"/>
      <c r="F541" s="11"/>
    </row>
    <row r="542" ht="15.75" customHeight="1">
      <c r="B542" s="11"/>
      <c r="C542" s="11"/>
      <c r="F542" s="11"/>
    </row>
    <row r="543" ht="15.75" customHeight="1">
      <c r="B543" s="11"/>
      <c r="C543" s="11"/>
      <c r="F543" s="11"/>
    </row>
    <row r="544" ht="15.75" customHeight="1">
      <c r="B544" s="11"/>
      <c r="C544" s="11"/>
      <c r="F544" s="11"/>
    </row>
    <row r="545" ht="15.75" customHeight="1">
      <c r="B545" s="11"/>
      <c r="C545" s="11"/>
      <c r="F545" s="11"/>
    </row>
    <row r="546" ht="15.75" customHeight="1">
      <c r="B546" s="11"/>
      <c r="C546" s="11"/>
      <c r="F546" s="11"/>
    </row>
    <row r="547" ht="15.75" customHeight="1">
      <c r="B547" s="11"/>
      <c r="C547" s="11"/>
      <c r="F547" s="11"/>
    </row>
    <row r="548" ht="15.75" customHeight="1">
      <c r="B548" s="11"/>
      <c r="C548" s="11"/>
      <c r="F548" s="11"/>
    </row>
    <row r="549" ht="15.75" customHeight="1">
      <c r="B549" s="11"/>
      <c r="C549" s="11"/>
      <c r="F549" s="11"/>
    </row>
    <row r="550" ht="15.75" customHeight="1">
      <c r="B550" s="11"/>
      <c r="C550" s="11"/>
      <c r="F550" s="11"/>
    </row>
    <row r="551" ht="15.75" customHeight="1">
      <c r="B551" s="11"/>
      <c r="C551" s="11"/>
      <c r="F551" s="11"/>
    </row>
    <row r="552" ht="15.75" customHeight="1">
      <c r="B552" s="11"/>
      <c r="C552" s="11"/>
      <c r="F552" s="11"/>
    </row>
    <row r="553" ht="15.75" customHeight="1">
      <c r="B553" s="11"/>
      <c r="C553" s="11"/>
      <c r="F553" s="11"/>
    </row>
    <row r="554" ht="15.75" customHeight="1">
      <c r="B554" s="11"/>
      <c r="C554" s="11"/>
      <c r="F554" s="11"/>
    </row>
    <row r="555" ht="15.75" customHeight="1">
      <c r="B555" s="11"/>
      <c r="C555" s="11"/>
      <c r="F555" s="11"/>
    </row>
    <row r="556" ht="15.75" customHeight="1">
      <c r="B556" s="11"/>
      <c r="C556" s="11"/>
      <c r="F556" s="11"/>
    </row>
    <row r="557" ht="15.75" customHeight="1">
      <c r="B557" s="11"/>
      <c r="C557" s="11"/>
      <c r="F557" s="11"/>
    </row>
    <row r="558" ht="15.75" customHeight="1">
      <c r="B558" s="11"/>
      <c r="C558" s="11"/>
      <c r="F558" s="11"/>
    </row>
    <row r="559" ht="15.75" customHeight="1">
      <c r="B559" s="11"/>
      <c r="C559" s="11"/>
      <c r="F559" s="11"/>
    </row>
    <row r="560" ht="15.75" customHeight="1">
      <c r="B560" s="11"/>
      <c r="C560" s="11"/>
      <c r="F560" s="11"/>
    </row>
    <row r="561" ht="15.75" customHeight="1">
      <c r="B561" s="11"/>
      <c r="C561" s="11"/>
      <c r="F561" s="11"/>
    </row>
    <row r="562" ht="15.75" customHeight="1">
      <c r="B562" s="11"/>
      <c r="C562" s="11"/>
      <c r="F562" s="11"/>
    </row>
    <row r="563" ht="15.75" customHeight="1">
      <c r="B563" s="11"/>
      <c r="C563" s="11"/>
      <c r="F563" s="11"/>
    </row>
    <row r="564" ht="15.75" customHeight="1">
      <c r="B564" s="11"/>
      <c r="C564" s="11"/>
      <c r="F564" s="11"/>
    </row>
    <row r="565" ht="15.75" customHeight="1">
      <c r="B565" s="11"/>
      <c r="C565" s="11"/>
      <c r="F565" s="11"/>
    </row>
    <row r="566" ht="15.75" customHeight="1">
      <c r="B566" s="11"/>
      <c r="C566" s="11"/>
      <c r="F566" s="11"/>
    </row>
    <row r="567" ht="15.75" customHeight="1">
      <c r="B567" s="11"/>
      <c r="C567" s="11"/>
      <c r="F567" s="11"/>
    </row>
    <row r="568" ht="15.75" customHeight="1">
      <c r="B568" s="11"/>
      <c r="C568" s="11"/>
      <c r="F568" s="11"/>
    </row>
    <row r="569" ht="15.75" customHeight="1">
      <c r="B569" s="11"/>
      <c r="C569" s="11"/>
      <c r="F569" s="11"/>
    </row>
    <row r="570" ht="15.75" customHeight="1">
      <c r="B570" s="11"/>
      <c r="C570" s="11"/>
      <c r="F570" s="11"/>
    </row>
    <row r="571" ht="15.75" customHeight="1">
      <c r="B571" s="11"/>
      <c r="C571" s="11"/>
      <c r="F571" s="11"/>
    </row>
    <row r="572" ht="15.75" customHeight="1">
      <c r="B572" s="11"/>
      <c r="C572" s="11"/>
      <c r="F572" s="11"/>
    </row>
    <row r="573" ht="15.75" customHeight="1">
      <c r="B573" s="11"/>
      <c r="C573" s="11"/>
      <c r="F573" s="11"/>
    </row>
    <row r="574" ht="15.75" customHeight="1">
      <c r="B574" s="11"/>
      <c r="C574" s="11"/>
      <c r="F574" s="11"/>
    </row>
    <row r="575" ht="15.75" customHeight="1">
      <c r="B575" s="11"/>
      <c r="C575" s="11"/>
      <c r="F575" s="11"/>
    </row>
    <row r="576" ht="15.75" customHeight="1">
      <c r="B576" s="11"/>
      <c r="C576" s="11"/>
      <c r="F576" s="11"/>
    </row>
    <row r="577" ht="15.75" customHeight="1">
      <c r="B577" s="11"/>
      <c r="C577" s="11"/>
      <c r="F577" s="11"/>
    </row>
    <row r="578" ht="15.75" customHeight="1">
      <c r="B578" s="11"/>
      <c r="C578" s="11"/>
      <c r="F578" s="11"/>
    </row>
    <row r="579" ht="15.75" customHeight="1">
      <c r="B579" s="11"/>
      <c r="C579" s="11"/>
      <c r="F579" s="11"/>
    </row>
    <row r="580" ht="15.75" customHeight="1">
      <c r="B580" s="11"/>
      <c r="C580" s="11"/>
      <c r="F580" s="11"/>
    </row>
    <row r="581" ht="15.75" customHeight="1">
      <c r="B581" s="11"/>
      <c r="C581" s="11"/>
      <c r="F581" s="11"/>
    </row>
    <row r="582" ht="15.75" customHeight="1">
      <c r="B582" s="11"/>
      <c r="C582" s="11"/>
      <c r="F582" s="11"/>
    </row>
    <row r="583" ht="15.75" customHeight="1">
      <c r="B583" s="11"/>
      <c r="C583" s="11"/>
      <c r="F583" s="11"/>
    </row>
    <row r="584" ht="15.75" customHeight="1">
      <c r="B584" s="11"/>
      <c r="C584" s="11"/>
      <c r="F584" s="11"/>
    </row>
    <row r="585" ht="15.75" customHeight="1">
      <c r="B585" s="11"/>
      <c r="C585" s="11"/>
      <c r="F585" s="11"/>
    </row>
    <row r="586" ht="15.75" customHeight="1">
      <c r="B586" s="11"/>
      <c r="C586" s="11"/>
      <c r="F586" s="11"/>
    </row>
    <row r="587" ht="15.75" customHeight="1">
      <c r="B587" s="11"/>
      <c r="C587" s="11"/>
      <c r="F587" s="11"/>
    </row>
    <row r="588" ht="15.75" customHeight="1">
      <c r="B588" s="11"/>
      <c r="C588" s="11"/>
      <c r="F588" s="11"/>
    </row>
    <row r="589" ht="15.75" customHeight="1">
      <c r="B589" s="11"/>
      <c r="C589" s="11"/>
      <c r="F589" s="11"/>
    </row>
    <row r="590" ht="15.75" customHeight="1">
      <c r="B590" s="11"/>
      <c r="C590" s="11"/>
      <c r="F590" s="11"/>
    </row>
    <row r="591" ht="15.75" customHeight="1">
      <c r="B591" s="11"/>
      <c r="C591" s="11"/>
      <c r="F591" s="11"/>
    </row>
    <row r="592" ht="15.75" customHeight="1">
      <c r="B592" s="11"/>
      <c r="C592" s="11"/>
      <c r="F592" s="11"/>
    </row>
    <row r="593" ht="15.75" customHeight="1">
      <c r="B593" s="11"/>
      <c r="C593" s="11"/>
      <c r="F593" s="11"/>
    </row>
    <row r="594" ht="15.75" customHeight="1">
      <c r="B594" s="11"/>
      <c r="C594" s="11"/>
      <c r="F594" s="11"/>
    </row>
    <row r="595" ht="15.75" customHeight="1">
      <c r="B595" s="11"/>
      <c r="C595" s="11"/>
      <c r="F595" s="11"/>
    </row>
    <row r="596" ht="15.75" customHeight="1">
      <c r="B596" s="11"/>
      <c r="C596" s="11"/>
      <c r="F596" s="11"/>
    </row>
    <row r="597" ht="15.75" customHeight="1">
      <c r="B597" s="11"/>
      <c r="C597" s="11"/>
      <c r="F597" s="11"/>
    </row>
    <row r="598" ht="15.75" customHeight="1">
      <c r="B598" s="11"/>
      <c r="C598" s="11"/>
      <c r="F598" s="11"/>
    </row>
    <row r="599" ht="15.75" customHeight="1">
      <c r="B599" s="11"/>
      <c r="C599" s="11"/>
      <c r="F599" s="11"/>
    </row>
    <row r="600" ht="15.75" customHeight="1">
      <c r="B600" s="11"/>
      <c r="C600" s="11"/>
      <c r="F600" s="11"/>
    </row>
    <row r="601" ht="15.75" customHeight="1">
      <c r="B601" s="11"/>
      <c r="C601" s="11"/>
      <c r="F601" s="11"/>
    </row>
    <row r="602" ht="15.75" customHeight="1">
      <c r="B602" s="11"/>
      <c r="C602" s="11"/>
      <c r="F602" s="11"/>
    </row>
    <row r="603" ht="15.75" customHeight="1">
      <c r="B603" s="11"/>
      <c r="C603" s="11"/>
      <c r="F603" s="11"/>
    </row>
    <row r="604" ht="15.75" customHeight="1">
      <c r="B604" s="11"/>
      <c r="C604" s="11"/>
      <c r="F604" s="11"/>
    </row>
    <row r="605" ht="15.75" customHeight="1">
      <c r="B605" s="11"/>
      <c r="C605" s="11"/>
      <c r="F605" s="11"/>
    </row>
    <row r="606" ht="15.75" customHeight="1">
      <c r="B606" s="11"/>
      <c r="C606" s="11"/>
      <c r="F606" s="11"/>
    </row>
    <row r="607" ht="15.75" customHeight="1">
      <c r="B607" s="11"/>
      <c r="C607" s="11"/>
      <c r="F607" s="11"/>
    </row>
    <row r="608" ht="15.75" customHeight="1">
      <c r="B608" s="11"/>
      <c r="C608" s="11"/>
      <c r="F608" s="11"/>
    </row>
    <row r="609" ht="15.75" customHeight="1">
      <c r="B609" s="11"/>
      <c r="C609" s="11"/>
      <c r="F609" s="11"/>
    </row>
    <row r="610" ht="15.75" customHeight="1">
      <c r="B610" s="11"/>
      <c r="C610" s="11"/>
      <c r="F610" s="11"/>
    </row>
    <row r="611" ht="15.75" customHeight="1">
      <c r="B611" s="11"/>
      <c r="C611" s="11"/>
      <c r="F611" s="11"/>
    </row>
    <row r="612" ht="15.75" customHeight="1">
      <c r="B612" s="11"/>
      <c r="C612" s="11"/>
      <c r="F612" s="11"/>
    </row>
    <row r="613" ht="15.75" customHeight="1">
      <c r="B613" s="11"/>
      <c r="C613" s="11"/>
      <c r="F613" s="11"/>
    </row>
    <row r="614" ht="15.75" customHeight="1">
      <c r="B614" s="11"/>
      <c r="C614" s="11"/>
      <c r="F614" s="11"/>
    </row>
    <row r="615" ht="15.75" customHeight="1">
      <c r="B615" s="11"/>
      <c r="C615" s="11"/>
      <c r="F615" s="11"/>
    </row>
    <row r="616" ht="15.75" customHeight="1">
      <c r="B616" s="11"/>
      <c r="C616" s="11"/>
      <c r="F616" s="11"/>
    </row>
    <row r="617" ht="15.75" customHeight="1">
      <c r="B617" s="11"/>
      <c r="C617" s="11"/>
      <c r="F617" s="11"/>
    </row>
    <row r="618" ht="15.75" customHeight="1">
      <c r="B618" s="11"/>
      <c r="C618" s="11"/>
      <c r="F618" s="11"/>
    </row>
    <row r="619" ht="15.75" customHeight="1">
      <c r="B619" s="11"/>
      <c r="C619" s="11"/>
      <c r="F619" s="11"/>
    </row>
    <row r="620" ht="15.75" customHeight="1">
      <c r="B620" s="11"/>
      <c r="C620" s="11"/>
      <c r="F620" s="11"/>
    </row>
    <row r="621" ht="15.75" customHeight="1">
      <c r="B621" s="11"/>
      <c r="C621" s="11"/>
      <c r="F621" s="11"/>
    </row>
    <row r="622" ht="15.75" customHeight="1">
      <c r="B622" s="11"/>
      <c r="C622" s="11"/>
      <c r="F622" s="11"/>
    </row>
    <row r="623" ht="15.75" customHeight="1">
      <c r="B623" s="11"/>
      <c r="C623" s="11"/>
      <c r="F623" s="11"/>
    </row>
    <row r="624" ht="15.75" customHeight="1">
      <c r="B624" s="11"/>
      <c r="C624" s="11"/>
      <c r="F624" s="11"/>
    </row>
    <row r="625" ht="15.75" customHeight="1">
      <c r="B625" s="11"/>
      <c r="C625" s="11"/>
      <c r="F625" s="11"/>
    </row>
    <row r="626" ht="15.75" customHeight="1">
      <c r="B626" s="11"/>
      <c r="C626" s="11"/>
      <c r="F626" s="11"/>
    </row>
    <row r="627" ht="15.75" customHeight="1">
      <c r="B627" s="11"/>
      <c r="C627" s="11"/>
      <c r="F627" s="11"/>
    </row>
    <row r="628" ht="15.75" customHeight="1">
      <c r="B628" s="11"/>
      <c r="C628" s="11"/>
      <c r="F628" s="11"/>
    </row>
    <row r="629" ht="15.75" customHeight="1">
      <c r="B629" s="11"/>
      <c r="C629" s="11"/>
      <c r="F629" s="11"/>
    </row>
    <row r="630" ht="15.75" customHeight="1">
      <c r="B630" s="11"/>
      <c r="C630" s="11"/>
      <c r="F630" s="11"/>
    </row>
    <row r="631" ht="15.75" customHeight="1">
      <c r="B631" s="11"/>
      <c r="C631" s="11"/>
      <c r="F631" s="11"/>
    </row>
    <row r="632" ht="15.75" customHeight="1">
      <c r="B632" s="11"/>
      <c r="C632" s="11"/>
      <c r="F632" s="11"/>
    </row>
    <row r="633" ht="15.75" customHeight="1">
      <c r="B633" s="11"/>
      <c r="C633" s="11"/>
      <c r="F633" s="11"/>
    </row>
    <row r="634" ht="15.75" customHeight="1">
      <c r="B634" s="11"/>
      <c r="C634" s="11"/>
      <c r="F634" s="11"/>
    </row>
    <row r="635" ht="15.75" customHeight="1">
      <c r="B635" s="11"/>
      <c r="C635" s="11"/>
      <c r="F635" s="11"/>
    </row>
    <row r="636" ht="15.75" customHeight="1">
      <c r="B636" s="11"/>
      <c r="C636" s="11"/>
      <c r="F636" s="11"/>
    </row>
    <row r="637" ht="15.75" customHeight="1">
      <c r="B637" s="11"/>
      <c r="C637" s="11"/>
      <c r="F637" s="11"/>
    </row>
    <row r="638" ht="15.75" customHeight="1">
      <c r="B638" s="11"/>
      <c r="C638" s="11"/>
      <c r="F638" s="11"/>
    </row>
    <row r="639" ht="15.75" customHeight="1">
      <c r="B639" s="11"/>
      <c r="C639" s="11"/>
      <c r="F639" s="11"/>
    </row>
    <row r="640" ht="15.75" customHeight="1">
      <c r="B640" s="11"/>
      <c r="C640" s="11"/>
      <c r="F640" s="11"/>
    </row>
    <row r="641" ht="15.75" customHeight="1">
      <c r="B641" s="11"/>
      <c r="C641" s="11"/>
      <c r="F641" s="11"/>
    </row>
    <row r="642" ht="15.75" customHeight="1">
      <c r="B642" s="11"/>
      <c r="C642" s="11"/>
      <c r="F642" s="11"/>
    </row>
    <row r="643" ht="15.75" customHeight="1">
      <c r="B643" s="11"/>
      <c r="C643" s="11"/>
      <c r="F643" s="11"/>
    </row>
    <row r="644" ht="15.75" customHeight="1">
      <c r="B644" s="11"/>
      <c r="C644" s="11"/>
      <c r="F644" s="11"/>
    </row>
    <row r="645" ht="15.75" customHeight="1">
      <c r="B645" s="11"/>
      <c r="C645" s="11"/>
      <c r="F645" s="11"/>
    </row>
    <row r="646" ht="15.75" customHeight="1">
      <c r="B646" s="11"/>
      <c r="C646" s="11"/>
      <c r="F646" s="11"/>
    </row>
    <row r="647" ht="15.75" customHeight="1">
      <c r="B647" s="11"/>
      <c r="C647" s="11"/>
      <c r="F647" s="11"/>
    </row>
    <row r="648" ht="15.75" customHeight="1">
      <c r="B648" s="11"/>
      <c r="C648" s="11"/>
      <c r="F648" s="11"/>
    </row>
    <row r="649" ht="15.75" customHeight="1">
      <c r="B649" s="11"/>
      <c r="C649" s="11"/>
      <c r="F649" s="11"/>
    </row>
    <row r="650" ht="15.75" customHeight="1">
      <c r="B650" s="11"/>
      <c r="C650" s="11"/>
      <c r="F650" s="11"/>
    </row>
    <row r="651" ht="15.75" customHeight="1">
      <c r="B651" s="11"/>
      <c r="C651" s="11"/>
      <c r="F651" s="11"/>
    </row>
    <row r="652" ht="15.75" customHeight="1">
      <c r="B652" s="11"/>
      <c r="C652" s="11"/>
      <c r="F652" s="11"/>
    </row>
    <row r="653" ht="15.75" customHeight="1">
      <c r="B653" s="11"/>
      <c r="C653" s="11"/>
      <c r="F653" s="11"/>
    </row>
    <row r="654" ht="15.75" customHeight="1">
      <c r="B654" s="11"/>
      <c r="C654" s="11"/>
      <c r="F654" s="11"/>
    </row>
    <row r="655" ht="15.75" customHeight="1">
      <c r="B655" s="11"/>
      <c r="C655" s="11"/>
      <c r="F655" s="11"/>
    </row>
    <row r="656" ht="15.75" customHeight="1">
      <c r="B656" s="11"/>
      <c r="C656" s="11"/>
      <c r="F656" s="11"/>
    </row>
    <row r="657" ht="15.75" customHeight="1">
      <c r="B657" s="11"/>
      <c r="C657" s="11"/>
      <c r="F657" s="11"/>
    </row>
    <row r="658" ht="15.75" customHeight="1">
      <c r="B658" s="11"/>
      <c r="C658" s="11"/>
      <c r="F658" s="11"/>
    </row>
    <row r="659" ht="15.75" customHeight="1">
      <c r="B659" s="11"/>
      <c r="C659" s="11"/>
      <c r="F659" s="11"/>
    </row>
    <row r="660" ht="15.75" customHeight="1">
      <c r="B660" s="11"/>
      <c r="C660" s="11"/>
      <c r="F660" s="11"/>
    </row>
    <row r="661" ht="15.75" customHeight="1">
      <c r="B661" s="11"/>
      <c r="C661" s="11"/>
      <c r="F661" s="11"/>
    </row>
    <row r="662" ht="15.75" customHeight="1">
      <c r="B662" s="11"/>
      <c r="C662" s="11"/>
      <c r="F662" s="11"/>
    </row>
    <row r="663" ht="15.75" customHeight="1">
      <c r="B663" s="11"/>
      <c r="C663" s="11"/>
      <c r="F663" s="11"/>
    </row>
    <row r="664" ht="15.75" customHeight="1">
      <c r="B664" s="11"/>
      <c r="C664" s="11"/>
      <c r="F664" s="11"/>
    </row>
    <row r="665" ht="15.75" customHeight="1">
      <c r="B665" s="11"/>
      <c r="C665" s="11"/>
      <c r="F665" s="11"/>
    </row>
    <row r="666" ht="15.75" customHeight="1">
      <c r="B666" s="11"/>
      <c r="C666" s="11"/>
      <c r="F666" s="11"/>
    </row>
    <row r="667" ht="15.75" customHeight="1">
      <c r="B667" s="11"/>
      <c r="C667" s="11"/>
      <c r="F667" s="11"/>
    </row>
    <row r="668" ht="15.75" customHeight="1">
      <c r="B668" s="11"/>
      <c r="C668" s="11"/>
      <c r="F668" s="11"/>
    </row>
    <row r="669" ht="15.75" customHeight="1">
      <c r="B669" s="11"/>
      <c r="C669" s="11"/>
      <c r="F669" s="11"/>
    </row>
    <row r="670" ht="15.75" customHeight="1">
      <c r="B670" s="11"/>
      <c r="C670" s="11"/>
      <c r="F670" s="11"/>
    </row>
    <row r="671" ht="15.75" customHeight="1">
      <c r="B671" s="11"/>
      <c r="C671" s="11"/>
      <c r="F671" s="11"/>
    </row>
    <row r="672" ht="15.75" customHeight="1">
      <c r="B672" s="11"/>
      <c r="C672" s="11"/>
      <c r="F672" s="11"/>
    </row>
    <row r="673" ht="15.75" customHeight="1">
      <c r="B673" s="11"/>
      <c r="C673" s="11"/>
      <c r="F673" s="11"/>
    </row>
    <row r="674" ht="15.75" customHeight="1">
      <c r="B674" s="11"/>
      <c r="C674" s="11"/>
      <c r="F674" s="11"/>
    </row>
    <row r="675" ht="15.75" customHeight="1">
      <c r="B675" s="11"/>
      <c r="C675" s="11"/>
      <c r="F675" s="11"/>
    </row>
    <row r="676" ht="15.75" customHeight="1">
      <c r="B676" s="11"/>
      <c r="C676" s="11"/>
      <c r="F676" s="11"/>
    </row>
    <row r="677" ht="15.75" customHeight="1">
      <c r="B677" s="11"/>
      <c r="C677" s="11"/>
      <c r="F677" s="11"/>
    </row>
    <row r="678" ht="15.75" customHeight="1">
      <c r="B678" s="11"/>
      <c r="C678" s="11"/>
      <c r="F678" s="11"/>
    </row>
    <row r="679" ht="15.75" customHeight="1">
      <c r="B679" s="11"/>
      <c r="C679" s="11"/>
      <c r="F679" s="11"/>
    </row>
    <row r="680" ht="15.75" customHeight="1">
      <c r="B680" s="11"/>
      <c r="C680" s="11"/>
      <c r="F680" s="11"/>
    </row>
    <row r="681" ht="15.75" customHeight="1">
      <c r="B681" s="11"/>
      <c r="C681" s="11"/>
      <c r="F681" s="11"/>
    </row>
    <row r="682" ht="15.75" customHeight="1">
      <c r="B682" s="11"/>
      <c r="C682" s="11"/>
      <c r="F682" s="11"/>
    </row>
    <row r="683" ht="15.75" customHeight="1">
      <c r="B683" s="11"/>
      <c r="C683" s="11"/>
      <c r="F683" s="11"/>
    </row>
    <row r="684" ht="15.75" customHeight="1">
      <c r="B684" s="11"/>
      <c r="C684" s="11"/>
      <c r="F684" s="11"/>
    </row>
    <row r="685" ht="15.75" customHeight="1">
      <c r="B685" s="11"/>
      <c r="C685" s="11"/>
      <c r="F685" s="11"/>
    </row>
    <row r="686" ht="15.75" customHeight="1">
      <c r="B686" s="11"/>
      <c r="C686" s="11"/>
      <c r="F686" s="11"/>
    </row>
    <row r="687" ht="15.75" customHeight="1">
      <c r="B687" s="11"/>
      <c r="C687" s="11"/>
      <c r="F687" s="11"/>
    </row>
    <row r="688" ht="15.75" customHeight="1">
      <c r="B688" s="11"/>
      <c r="C688" s="11"/>
      <c r="F688" s="11"/>
    </row>
    <row r="689" ht="15.75" customHeight="1">
      <c r="B689" s="11"/>
      <c r="C689" s="11"/>
      <c r="F689" s="11"/>
    </row>
    <row r="690" ht="15.75" customHeight="1">
      <c r="B690" s="11"/>
      <c r="C690" s="11"/>
      <c r="F690" s="11"/>
    </row>
    <row r="691" ht="15.75" customHeight="1">
      <c r="B691" s="11"/>
      <c r="C691" s="11"/>
      <c r="F691" s="11"/>
    </row>
    <row r="692" ht="15.75" customHeight="1">
      <c r="B692" s="11"/>
      <c r="C692" s="11"/>
      <c r="F692" s="11"/>
    </row>
    <row r="693" ht="15.75" customHeight="1">
      <c r="B693" s="11"/>
      <c r="C693" s="11"/>
      <c r="F693" s="11"/>
    </row>
    <row r="694" ht="15.75" customHeight="1">
      <c r="B694" s="11"/>
      <c r="C694" s="11"/>
      <c r="F694" s="11"/>
    </row>
    <row r="695" ht="15.75" customHeight="1">
      <c r="B695" s="11"/>
      <c r="C695" s="11"/>
      <c r="F695" s="11"/>
    </row>
    <row r="696" ht="15.75" customHeight="1">
      <c r="B696" s="11"/>
      <c r="C696" s="11"/>
      <c r="F696" s="11"/>
    </row>
    <row r="697" ht="15.75" customHeight="1">
      <c r="B697" s="11"/>
      <c r="C697" s="11"/>
      <c r="F697" s="11"/>
    </row>
    <row r="698" ht="15.75" customHeight="1">
      <c r="B698" s="11"/>
      <c r="C698" s="11"/>
      <c r="F698" s="11"/>
    </row>
    <row r="699" ht="15.75" customHeight="1">
      <c r="B699" s="11"/>
      <c r="C699" s="11"/>
      <c r="F699" s="11"/>
    </row>
    <row r="700" ht="15.75" customHeight="1">
      <c r="B700" s="11"/>
      <c r="C700" s="11"/>
      <c r="F700" s="11"/>
    </row>
    <row r="701" ht="15.75" customHeight="1">
      <c r="B701" s="11"/>
      <c r="C701" s="11"/>
      <c r="F701" s="11"/>
    </row>
    <row r="702" ht="15.75" customHeight="1">
      <c r="B702" s="11"/>
      <c r="C702" s="11"/>
      <c r="F702" s="11"/>
    </row>
    <row r="703" ht="15.75" customHeight="1">
      <c r="B703" s="11"/>
      <c r="C703" s="11"/>
      <c r="F703" s="11"/>
    </row>
    <row r="704" ht="15.75" customHeight="1">
      <c r="B704" s="11"/>
      <c r="C704" s="11"/>
      <c r="F704" s="11"/>
    </row>
    <row r="705" ht="15.75" customHeight="1">
      <c r="B705" s="11"/>
      <c r="C705" s="11"/>
      <c r="F705" s="11"/>
    </row>
    <row r="706" ht="15.75" customHeight="1">
      <c r="B706" s="11"/>
      <c r="C706" s="11"/>
      <c r="F706" s="11"/>
    </row>
    <row r="707" ht="15.75" customHeight="1">
      <c r="B707" s="11"/>
      <c r="C707" s="11"/>
      <c r="F707" s="11"/>
    </row>
    <row r="708" ht="15.75" customHeight="1">
      <c r="B708" s="11"/>
      <c r="C708" s="11"/>
      <c r="F708" s="11"/>
    </row>
    <row r="709" ht="15.75" customHeight="1">
      <c r="B709" s="11"/>
      <c r="C709" s="11"/>
      <c r="F709" s="11"/>
    </row>
    <row r="710" ht="15.75" customHeight="1">
      <c r="B710" s="11"/>
      <c r="C710" s="11"/>
      <c r="F710" s="11"/>
    </row>
    <row r="711" ht="15.75" customHeight="1">
      <c r="B711" s="11"/>
      <c r="C711" s="11"/>
      <c r="F711" s="11"/>
    </row>
    <row r="712" ht="15.75" customHeight="1">
      <c r="B712" s="11"/>
      <c r="C712" s="11"/>
      <c r="F712" s="11"/>
    </row>
    <row r="713" ht="15.75" customHeight="1">
      <c r="B713" s="11"/>
      <c r="C713" s="11"/>
      <c r="F713" s="11"/>
    </row>
    <row r="714" ht="15.75" customHeight="1">
      <c r="B714" s="11"/>
      <c r="C714" s="11"/>
      <c r="F714" s="11"/>
    </row>
    <row r="715" ht="15.75" customHeight="1">
      <c r="B715" s="11"/>
      <c r="C715" s="11"/>
      <c r="F715" s="11"/>
    </row>
    <row r="716" ht="15.75" customHeight="1">
      <c r="B716" s="11"/>
      <c r="C716" s="11"/>
      <c r="F716" s="11"/>
    </row>
    <row r="717" ht="15.75" customHeight="1">
      <c r="B717" s="11"/>
      <c r="C717" s="11"/>
      <c r="F717" s="11"/>
    </row>
    <row r="718" ht="15.75" customHeight="1">
      <c r="B718" s="11"/>
      <c r="C718" s="11"/>
      <c r="F718" s="11"/>
    </row>
    <row r="719" ht="15.75" customHeight="1">
      <c r="B719" s="11"/>
      <c r="C719" s="11"/>
      <c r="F719" s="11"/>
    </row>
    <row r="720" ht="15.75" customHeight="1">
      <c r="B720" s="11"/>
      <c r="C720" s="11"/>
      <c r="F720" s="11"/>
    </row>
    <row r="721" ht="15.75" customHeight="1">
      <c r="B721" s="11"/>
      <c r="C721" s="11"/>
      <c r="F721" s="11"/>
    </row>
    <row r="722" ht="15.75" customHeight="1">
      <c r="B722" s="11"/>
      <c r="C722" s="11"/>
      <c r="F722" s="11"/>
    </row>
    <row r="723" ht="15.75" customHeight="1">
      <c r="B723" s="11"/>
      <c r="C723" s="11"/>
      <c r="F723" s="11"/>
    </row>
    <row r="724" ht="15.75" customHeight="1">
      <c r="B724" s="11"/>
      <c r="C724" s="11"/>
      <c r="F724" s="11"/>
    </row>
    <row r="725" ht="15.75" customHeight="1">
      <c r="B725" s="11"/>
      <c r="C725" s="11"/>
      <c r="F725" s="11"/>
    </row>
    <row r="726" ht="15.75" customHeight="1">
      <c r="B726" s="11"/>
      <c r="C726" s="11"/>
      <c r="F726" s="11"/>
    </row>
    <row r="727" ht="15.75" customHeight="1">
      <c r="B727" s="11"/>
      <c r="C727" s="11"/>
      <c r="F727" s="11"/>
    </row>
    <row r="728" ht="15.75" customHeight="1">
      <c r="B728" s="11"/>
      <c r="C728" s="11"/>
      <c r="F728" s="11"/>
    </row>
    <row r="729" ht="15.75" customHeight="1">
      <c r="B729" s="11"/>
      <c r="C729" s="11"/>
      <c r="F729" s="11"/>
    </row>
    <row r="730" ht="15.75" customHeight="1">
      <c r="B730" s="11"/>
      <c r="C730" s="11"/>
      <c r="F730" s="11"/>
    </row>
    <row r="731" ht="15.75" customHeight="1">
      <c r="B731" s="11"/>
      <c r="C731" s="11"/>
      <c r="F731" s="11"/>
    </row>
    <row r="732" ht="15.75" customHeight="1">
      <c r="B732" s="11"/>
      <c r="C732" s="11"/>
      <c r="F732" s="11"/>
    </row>
    <row r="733" ht="15.75" customHeight="1">
      <c r="B733" s="11"/>
      <c r="C733" s="11"/>
      <c r="F733" s="11"/>
    </row>
    <row r="734" ht="15.75" customHeight="1">
      <c r="B734" s="11"/>
      <c r="C734" s="11"/>
      <c r="F734" s="11"/>
    </row>
    <row r="735" ht="15.75" customHeight="1">
      <c r="B735" s="11"/>
      <c r="C735" s="11"/>
      <c r="F735" s="11"/>
    </row>
    <row r="736" ht="15.75" customHeight="1">
      <c r="B736" s="11"/>
      <c r="C736" s="11"/>
      <c r="F736" s="11"/>
    </row>
    <row r="737" ht="15.75" customHeight="1">
      <c r="B737" s="11"/>
      <c r="C737" s="11"/>
      <c r="F737" s="11"/>
    </row>
    <row r="738" ht="15.75" customHeight="1">
      <c r="B738" s="11"/>
      <c r="C738" s="11"/>
      <c r="F738" s="11"/>
    </row>
    <row r="739" ht="15.75" customHeight="1">
      <c r="B739" s="11"/>
      <c r="C739" s="11"/>
      <c r="F739" s="11"/>
    </row>
    <row r="740" ht="15.75" customHeight="1">
      <c r="B740" s="11"/>
      <c r="C740" s="11"/>
      <c r="F740" s="11"/>
    </row>
    <row r="741" ht="15.75" customHeight="1">
      <c r="B741" s="11"/>
      <c r="C741" s="11"/>
      <c r="F741" s="11"/>
    </row>
    <row r="742" ht="15.75" customHeight="1">
      <c r="B742" s="11"/>
      <c r="C742" s="11"/>
      <c r="F742" s="11"/>
    </row>
    <row r="743" ht="15.75" customHeight="1">
      <c r="B743" s="11"/>
      <c r="C743" s="11"/>
      <c r="F743" s="11"/>
    </row>
    <row r="744" ht="15.75" customHeight="1">
      <c r="B744" s="11"/>
      <c r="C744" s="11"/>
      <c r="F744" s="11"/>
    </row>
    <row r="745" ht="15.75" customHeight="1">
      <c r="B745" s="11"/>
      <c r="C745" s="11"/>
      <c r="F745" s="11"/>
    </row>
    <row r="746" ht="15.75" customHeight="1">
      <c r="B746" s="11"/>
      <c r="C746" s="11"/>
      <c r="F746" s="11"/>
    </row>
    <row r="747" ht="15.75" customHeight="1">
      <c r="B747" s="11"/>
      <c r="C747" s="11"/>
      <c r="F747" s="11"/>
    </row>
    <row r="748" ht="15.75" customHeight="1">
      <c r="B748" s="11"/>
      <c r="C748" s="11"/>
      <c r="F748" s="11"/>
    </row>
    <row r="749" ht="15.75" customHeight="1">
      <c r="B749" s="11"/>
      <c r="C749" s="11"/>
      <c r="F749" s="11"/>
    </row>
    <row r="750" ht="15.75" customHeight="1">
      <c r="B750" s="11"/>
      <c r="C750" s="11"/>
      <c r="F750" s="11"/>
    </row>
    <row r="751" ht="15.75" customHeight="1">
      <c r="B751" s="11"/>
      <c r="C751" s="11"/>
      <c r="F751" s="11"/>
    </row>
    <row r="752" ht="15.75" customHeight="1">
      <c r="B752" s="11"/>
      <c r="C752" s="11"/>
      <c r="F752" s="11"/>
    </row>
    <row r="753" ht="15.75" customHeight="1">
      <c r="B753" s="11"/>
      <c r="C753" s="11"/>
      <c r="F753" s="11"/>
    </row>
    <row r="754" ht="15.75" customHeight="1">
      <c r="B754" s="11"/>
      <c r="C754" s="11"/>
      <c r="F754" s="11"/>
    </row>
    <row r="755" ht="15.75" customHeight="1">
      <c r="B755" s="11"/>
      <c r="C755" s="11"/>
      <c r="F755" s="11"/>
    </row>
    <row r="756" ht="15.75" customHeight="1">
      <c r="B756" s="11"/>
      <c r="C756" s="11"/>
      <c r="F756" s="11"/>
    </row>
    <row r="757" ht="15.75" customHeight="1">
      <c r="B757" s="11"/>
      <c r="C757" s="11"/>
      <c r="F757" s="11"/>
    </row>
    <row r="758" ht="15.75" customHeight="1">
      <c r="B758" s="11"/>
      <c r="C758" s="11"/>
      <c r="F758" s="11"/>
    </row>
    <row r="759" ht="15.75" customHeight="1">
      <c r="B759" s="11"/>
      <c r="C759" s="11"/>
      <c r="F759" s="11"/>
    </row>
    <row r="760" ht="15.75" customHeight="1">
      <c r="B760" s="11"/>
      <c r="C760" s="11"/>
      <c r="F760" s="11"/>
    </row>
    <row r="761" ht="15.75" customHeight="1">
      <c r="B761" s="11"/>
      <c r="C761" s="11"/>
      <c r="F761" s="11"/>
    </row>
    <row r="762" ht="15.75" customHeight="1">
      <c r="B762" s="11"/>
      <c r="C762" s="11"/>
      <c r="F762" s="11"/>
    </row>
    <row r="763" ht="15.75" customHeight="1">
      <c r="B763" s="11"/>
      <c r="C763" s="11"/>
      <c r="F763" s="11"/>
    </row>
    <row r="764" ht="15.75" customHeight="1">
      <c r="B764" s="11"/>
      <c r="C764" s="11"/>
      <c r="F764" s="11"/>
    </row>
    <row r="765" ht="15.75" customHeight="1">
      <c r="B765" s="11"/>
      <c r="C765" s="11"/>
      <c r="F765" s="11"/>
    </row>
    <row r="766" ht="15.75" customHeight="1">
      <c r="B766" s="11"/>
      <c r="C766" s="11"/>
      <c r="F766" s="11"/>
    </row>
    <row r="767" ht="15.75" customHeight="1">
      <c r="B767" s="11"/>
      <c r="C767" s="11"/>
      <c r="F767" s="11"/>
    </row>
    <row r="768" ht="15.75" customHeight="1">
      <c r="B768" s="11"/>
      <c r="C768" s="11"/>
      <c r="F768" s="11"/>
    </row>
    <row r="769" ht="15.75" customHeight="1">
      <c r="B769" s="11"/>
      <c r="C769" s="11"/>
      <c r="F769" s="11"/>
    </row>
    <row r="770" ht="15.75" customHeight="1">
      <c r="B770" s="11"/>
      <c r="C770" s="11"/>
      <c r="F770" s="11"/>
    </row>
    <row r="771" ht="15.75" customHeight="1">
      <c r="B771" s="11"/>
      <c r="C771" s="11"/>
      <c r="F771" s="11"/>
    </row>
    <row r="772" ht="15.75" customHeight="1">
      <c r="B772" s="11"/>
      <c r="C772" s="11"/>
      <c r="F772" s="11"/>
    </row>
    <row r="773" ht="15.75" customHeight="1">
      <c r="B773" s="11"/>
      <c r="C773" s="11"/>
      <c r="F773" s="11"/>
    </row>
    <row r="774" ht="15.75" customHeight="1">
      <c r="B774" s="11"/>
      <c r="C774" s="11"/>
      <c r="F774" s="11"/>
    </row>
    <row r="775" ht="15.75" customHeight="1">
      <c r="B775" s="11"/>
      <c r="C775" s="11"/>
      <c r="F775" s="11"/>
    </row>
    <row r="776" ht="15.75" customHeight="1">
      <c r="B776" s="11"/>
      <c r="C776" s="11"/>
      <c r="F776" s="11"/>
    </row>
    <row r="777" ht="15.75" customHeight="1">
      <c r="B777" s="11"/>
      <c r="C777" s="11"/>
      <c r="F777" s="11"/>
    </row>
    <row r="778" ht="15.75" customHeight="1">
      <c r="B778" s="11"/>
      <c r="C778" s="11"/>
      <c r="F778" s="11"/>
    </row>
    <row r="779" ht="15.75" customHeight="1">
      <c r="B779" s="11"/>
      <c r="C779" s="11"/>
      <c r="F779" s="11"/>
    </row>
    <row r="780" ht="15.75" customHeight="1">
      <c r="B780" s="11"/>
      <c r="C780" s="11"/>
      <c r="F780" s="11"/>
    </row>
    <row r="781" ht="15.75" customHeight="1">
      <c r="B781" s="11"/>
      <c r="C781" s="11"/>
      <c r="F781" s="11"/>
    </row>
    <row r="782" ht="15.75" customHeight="1">
      <c r="B782" s="11"/>
      <c r="C782" s="11"/>
      <c r="F782" s="11"/>
    </row>
    <row r="783" ht="15.75" customHeight="1">
      <c r="B783" s="11"/>
      <c r="C783" s="11"/>
      <c r="F783" s="11"/>
    </row>
    <row r="784" ht="15.75" customHeight="1">
      <c r="B784" s="11"/>
      <c r="C784" s="11"/>
      <c r="F784" s="11"/>
    </row>
    <row r="785" ht="15.75" customHeight="1">
      <c r="B785" s="11"/>
      <c r="C785" s="11"/>
      <c r="F785" s="11"/>
    </row>
    <row r="786" ht="15.75" customHeight="1">
      <c r="B786" s="11"/>
      <c r="C786" s="11"/>
      <c r="F786" s="11"/>
    </row>
    <row r="787" ht="15.75" customHeight="1">
      <c r="B787" s="11"/>
      <c r="C787" s="11"/>
      <c r="F787" s="11"/>
    </row>
    <row r="788" ht="15.75" customHeight="1">
      <c r="B788" s="11"/>
      <c r="C788" s="11"/>
      <c r="F788" s="11"/>
    </row>
    <row r="789" ht="15.75" customHeight="1">
      <c r="B789" s="11"/>
      <c r="C789" s="11"/>
      <c r="F789" s="11"/>
    </row>
    <row r="790" ht="15.75" customHeight="1">
      <c r="B790" s="11"/>
      <c r="C790" s="11"/>
      <c r="F790" s="11"/>
    </row>
    <row r="791" ht="15.75" customHeight="1">
      <c r="B791" s="11"/>
      <c r="C791" s="11"/>
      <c r="F791" s="11"/>
    </row>
    <row r="792" ht="15.75" customHeight="1">
      <c r="B792" s="11"/>
      <c r="C792" s="11"/>
      <c r="F792" s="11"/>
    </row>
    <row r="793" ht="15.75" customHeight="1">
      <c r="B793" s="11"/>
      <c r="C793" s="11"/>
      <c r="F793" s="11"/>
    </row>
    <row r="794" ht="15.75" customHeight="1">
      <c r="B794" s="11"/>
      <c r="C794" s="11"/>
      <c r="F794" s="11"/>
    </row>
    <row r="795" ht="15.75" customHeight="1">
      <c r="B795" s="11"/>
      <c r="C795" s="11"/>
      <c r="F795" s="11"/>
    </row>
    <row r="796" ht="15.75" customHeight="1">
      <c r="B796" s="11"/>
      <c r="C796" s="11"/>
      <c r="F796" s="11"/>
    </row>
    <row r="797" ht="15.75" customHeight="1">
      <c r="B797" s="11"/>
      <c r="C797" s="11"/>
      <c r="F797" s="11"/>
    </row>
    <row r="798" ht="15.75" customHeight="1">
      <c r="B798" s="11"/>
      <c r="C798" s="11"/>
      <c r="F798" s="11"/>
    </row>
    <row r="799" ht="15.75" customHeight="1">
      <c r="B799" s="11"/>
      <c r="C799" s="11"/>
      <c r="F799" s="11"/>
    </row>
    <row r="800" ht="15.75" customHeight="1">
      <c r="B800" s="11"/>
      <c r="C800" s="11"/>
      <c r="F800" s="11"/>
    </row>
    <row r="801" ht="15.75" customHeight="1">
      <c r="B801" s="11"/>
      <c r="C801" s="11"/>
      <c r="F801" s="11"/>
    </row>
    <row r="802" ht="15.75" customHeight="1">
      <c r="B802" s="11"/>
      <c r="C802" s="11"/>
      <c r="F802" s="11"/>
    </row>
    <row r="803" ht="15.75" customHeight="1">
      <c r="B803" s="11"/>
      <c r="C803" s="11"/>
      <c r="F803" s="11"/>
    </row>
    <row r="804" ht="15.75" customHeight="1">
      <c r="B804" s="11"/>
      <c r="C804" s="11"/>
      <c r="F804" s="11"/>
    </row>
    <row r="805" ht="15.75" customHeight="1">
      <c r="B805" s="11"/>
      <c r="C805" s="11"/>
      <c r="F805" s="11"/>
    </row>
    <row r="806" ht="15.75" customHeight="1">
      <c r="B806" s="11"/>
      <c r="C806" s="11"/>
      <c r="F806" s="11"/>
    </row>
    <row r="807" ht="15.75" customHeight="1">
      <c r="B807" s="11"/>
      <c r="C807" s="11"/>
      <c r="F807" s="11"/>
    </row>
    <row r="808" ht="15.75" customHeight="1">
      <c r="B808" s="11"/>
      <c r="C808" s="11"/>
      <c r="F808" s="11"/>
    </row>
    <row r="809" ht="15.75" customHeight="1">
      <c r="B809" s="11"/>
      <c r="C809" s="11"/>
      <c r="F809" s="11"/>
    </row>
    <row r="810" ht="15.75" customHeight="1">
      <c r="B810" s="11"/>
      <c r="C810" s="11"/>
      <c r="F810" s="11"/>
    </row>
    <row r="811" ht="15.75" customHeight="1">
      <c r="B811" s="11"/>
      <c r="C811" s="11"/>
      <c r="F811" s="11"/>
    </row>
    <row r="812" ht="15.75" customHeight="1">
      <c r="B812" s="11"/>
      <c r="C812" s="11"/>
      <c r="F812" s="11"/>
    </row>
    <row r="813" ht="15.75" customHeight="1">
      <c r="B813" s="11"/>
      <c r="C813" s="11"/>
      <c r="F813" s="11"/>
    </row>
    <row r="814" ht="15.75" customHeight="1">
      <c r="B814" s="11"/>
      <c r="C814" s="11"/>
      <c r="F814" s="11"/>
    </row>
    <row r="815" ht="15.75" customHeight="1">
      <c r="B815" s="11"/>
      <c r="C815" s="11"/>
      <c r="F815" s="11"/>
    </row>
    <row r="816" ht="15.75" customHeight="1">
      <c r="B816" s="11"/>
      <c r="C816" s="11"/>
      <c r="F816" s="11"/>
    </row>
    <row r="817" ht="15.75" customHeight="1">
      <c r="B817" s="11"/>
      <c r="C817" s="11"/>
      <c r="F817" s="11"/>
    </row>
    <row r="818" ht="15.75" customHeight="1">
      <c r="B818" s="11"/>
      <c r="C818" s="11"/>
      <c r="F818" s="11"/>
    </row>
    <row r="819" ht="15.75" customHeight="1">
      <c r="B819" s="11"/>
      <c r="C819" s="11"/>
      <c r="F819" s="11"/>
    </row>
    <row r="820" ht="15.75" customHeight="1">
      <c r="B820" s="11"/>
      <c r="C820" s="11"/>
      <c r="F820" s="11"/>
    </row>
    <row r="821" ht="15.75" customHeight="1">
      <c r="B821" s="11"/>
      <c r="C821" s="11"/>
      <c r="F821" s="11"/>
    </row>
    <row r="822" ht="15.75" customHeight="1">
      <c r="B822" s="11"/>
      <c r="C822" s="11"/>
      <c r="F822" s="11"/>
    </row>
    <row r="823" ht="15.75" customHeight="1">
      <c r="B823" s="11"/>
      <c r="C823" s="11"/>
      <c r="F823" s="11"/>
    </row>
    <row r="824" ht="15.75" customHeight="1">
      <c r="B824" s="11"/>
      <c r="C824" s="11"/>
      <c r="F824" s="11"/>
    </row>
    <row r="825" ht="15.75" customHeight="1">
      <c r="B825" s="11"/>
      <c r="C825" s="11"/>
      <c r="F825" s="11"/>
    </row>
    <row r="826" ht="15.75" customHeight="1">
      <c r="B826" s="11"/>
      <c r="C826" s="11"/>
      <c r="F826" s="11"/>
    </row>
    <row r="827" ht="15.75" customHeight="1">
      <c r="B827" s="11"/>
      <c r="C827" s="11"/>
      <c r="F827" s="11"/>
    </row>
    <row r="828" ht="15.75" customHeight="1">
      <c r="B828" s="11"/>
      <c r="C828" s="11"/>
      <c r="F828" s="11"/>
    </row>
    <row r="829" ht="15.75" customHeight="1">
      <c r="B829" s="11"/>
      <c r="C829" s="11"/>
      <c r="F829" s="11"/>
    </row>
    <row r="830" ht="15.75" customHeight="1">
      <c r="B830" s="11"/>
      <c r="C830" s="11"/>
      <c r="F830" s="11"/>
    </row>
    <row r="831" ht="15.75" customHeight="1">
      <c r="B831" s="11"/>
      <c r="C831" s="11"/>
      <c r="F831" s="11"/>
    </row>
    <row r="832" ht="15.75" customHeight="1">
      <c r="B832" s="11"/>
      <c r="C832" s="11"/>
      <c r="F832" s="11"/>
    </row>
    <row r="833" ht="15.75" customHeight="1">
      <c r="B833" s="11"/>
      <c r="C833" s="11"/>
      <c r="F833" s="11"/>
    </row>
    <row r="834" ht="15.75" customHeight="1">
      <c r="B834" s="11"/>
      <c r="C834" s="11"/>
      <c r="F834" s="11"/>
    </row>
    <row r="835" ht="15.75" customHeight="1">
      <c r="B835" s="11"/>
      <c r="C835" s="11"/>
      <c r="F835" s="11"/>
    </row>
    <row r="836" ht="15.75" customHeight="1">
      <c r="B836" s="11"/>
      <c r="C836" s="11"/>
      <c r="F836" s="11"/>
    </row>
    <row r="837" ht="15.75" customHeight="1">
      <c r="B837" s="11"/>
      <c r="C837" s="11"/>
      <c r="F837" s="11"/>
    </row>
    <row r="838" ht="15.75" customHeight="1">
      <c r="B838" s="11"/>
      <c r="C838" s="11"/>
      <c r="F838" s="11"/>
    </row>
    <row r="839" ht="15.75" customHeight="1">
      <c r="B839" s="11"/>
      <c r="C839" s="11"/>
      <c r="F839" s="11"/>
    </row>
    <row r="840" ht="15.75" customHeight="1">
      <c r="B840" s="11"/>
      <c r="C840" s="11"/>
      <c r="F840" s="11"/>
    </row>
    <row r="841" ht="15.75" customHeight="1">
      <c r="B841" s="11"/>
      <c r="C841" s="11"/>
      <c r="F841" s="11"/>
    </row>
    <row r="842" ht="15.75" customHeight="1">
      <c r="B842" s="11"/>
      <c r="C842" s="11"/>
      <c r="F842" s="11"/>
    </row>
    <row r="843" ht="15.75" customHeight="1">
      <c r="B843" s="11"/>
      <c r="C843" s="11"/>
      <c r="F843" s="11"/>
    </row>
    <row r="844" ht="15.75" customHeight="1">
      <c r="B844" s="11"/>
      <c r="C844" s="11"/>
      <c r="F844" s="11"/>
    </row>
    <row r="845" ht="15.75" customHeight="1">
      <c r="B845" s="11"/>
      <c r="C845" s="11"/>
      <c r="F845" s="11"/>
    </row>
    <row r="846" ht="15.75" customHeight="1">
      <c r="B846" s="11"/>
      <c r="C846" s="11"/>
      <c r="F846" s="11"/>
    </row>
    <row r="847" ht="15.75" customHeight="1">
      <c r="B847" s="11"/>
      <c r="C847" s="11"/>
      <c r="F847" s="11"/>
    </row>
    <row r="848" ht="15.75" customHeight="1">
      <c r="B848" s="11"/>
      <c r="C848" s="11"/>
      <c r="F848" s="11"/>
    </row>
    <row r="849" ht="15.75" customHeight="1">
      <c r="B849" s="11"/>
      <c r="C849" s="11"/>
      <c r="F849" s="11"/>
    </row>
    <row r="850" ht="15.75" customHeight="1">
      <c r="B850" s="11"/>
      <c r="C850" s="11"/>
      <c r="F850" s="11"/>
    </row>
    <row r="851" ht="15.75" customHeight="1">
      <c r="B851" s="11"/>
      <c r="C851" s="11"/>
      <c r="F851" s="11"/>
    </row>
    <row r="852" ht="15.75" customHeight="1">
      <c r="B852" s="11"/>
      <c r="C852" s="11"/>
      <c r="F852" s="11"/>
    </row>
    <row r="853" ht="15.75" customHeight="1">
      <c r="B853" s="11"/>
      <c r="C853" s="11"/>
      <c r="F853" s="11"/>
    </row>
    <row r="854" ht="15.75" customHeight="1">
      <c r="B854" s="11"/>
      <c r="C854" s="11"/>
      <c r="F854" s="11"/>
    </row>
    <row r="855" ht="15.75" customHeight="1">
      <c r="B855" s="11"/>
      <c r="C855" s="11"/>
      <c r="F855" s="11"/>
    </row>
    <row r="856" ht="15.75" customHeight="1">
      <c r="B856" s="11"/>
      <c r="C856" s="11"/>
      <c r="F856" s="11"/>
    </row>
    <row r="857" ht="15.75" customHeight="1">
      <c r="B857" s="11"/>
      <c r="C857" s="11"/>
      <c r="F857" s="11"/>
    </row>
    <row r="858" ht="15.75" customHeight="1">
      <c r="B858" s="11"/>
      <c r="C858" s="11"/>
      <c r="F858" s="11"/>
    </row>
    <row r="859" ht="15.75" customHeight="1">
      <c r="B859" s="11"/>
      <c r="C859" s="11"/>
      <c r="F859" s="11"/>
    </row>
    <row r="860" ht="15.75" customHeight="1">
      <c r="B860" s="11"/>
      <c r="C860" s="11"/>
      <c r="F860" s="11"/>
    </row>
    <row r="861" ht="15.75" customHeight="1">
      <c r="B861" s="11"/>
      <c r="C861" s="11"/>
      <c r="F861" s="11"/>
    </row>
    <row r="862" ht="15.75" customHeight="1">
      <c r="B862" s="11"/>
      <c r="C862" s="11"/>
      <c r="F862" s="11"/>
    </row>
    <row r="863" ht="15.75" customHeight="1">
      <c r="B863" s="11"/>
      <c r="C863" s="11"/>
      <c r="F863" s="11"/>
    </row>
    <row r="864" ht="15.75" customHeight="1">
      <c r="B864" s="11"/>
      <c r="C864" s="11"/>
      <c r="F864" s="11"/>
    </row>
    <row r="865" ht="15.75" customHeight="1">
      <c r="B865" s="11"/>
      <c r="C865" s="11"/>
      <c r="F865" s="11"/>
    </row>
    <row r="866" ht="15.75" customHeight="1">
      <c r="B866" s="11"/>
      <c r="C866" s="11"/>
      <c r="F866" s="11"/>
    </row>
    <row r="867" ht="15.75" customHeight="1">
      <c r="B867" s="11"/>
      <c r="C867" s="11"/>
      <c r="F867" s="11"/>
    </row>
    <row r="868" ht="15.75" customHeight="1">
      <c r="B868" s="11"/>
      <c r="C868" s="11"/>
      <c r="F868" s="11"/>
    </row>
    <row r="869" ht="15.75" customHeight="1">
      <c r="B869" s="11"/>
      <c r="C869" s="11"/>
      <c r="F869" s="11"/>
    </row>
    <row r="870" ht="15.75" customHeight="1">
      <c r="B870" s="11"/>
      <c r="C870" s="11"/>
      <c r="F870" s="11"/>
    </row>
    <row r="871" ht="15.75" customHeight="1">
      <c r="B871" s="11"/>
      <c r="C871" s="11"/>
      <c r="F871" s="11"/>
    </row>
    <row r="872" ht="15.75" customHeight="1">
      <c r="B872" s="11"/>
      <c r="C872" s="11"/>
      <c r="F872" s="11"/>
    </row>
    <row r="873" ht="15.75" customHeight="1">
      <c r="B873" s="11"/>
      <c r="C873" s="11"/>
      <c r="F873" s="11"/>
    </row>
    <row r="874" ht="15.75" customHeight="1">
      <c r="B874" s="11"/>
      <c r="C874" s="11"/>
      <c r="F874" s="11"/>
    </row>
    <row r="875" ht="15.75" customHeight="1">
      <c r="B875" s="11"/>
      <c r="C875" s="11"/>
      <c r="F875" s="11"/>
    </row>
    <row r="876" ht="15.75" customHeight="1">
      <c r="B876" s="11"/>
      <c r="C876" s="11"/>
      <c r="F876" s="11"/>
    </row>
    <row r="877" ht="15.75" customHeight="1">
      <c r="B877" s="11"/>
      <c r="C877" s="11"/>
      <c r="F877" s="11"/>
    </row>
    <row r="878" ht="15.75" customHeight="1">
      <c r="B878" s="11"/>
      <c r="C878" s="11"/>
      <c r="F878" s="11"/>
    </row>
    <row r="879" ht="15.75" customHeight="1">
      <c r="B879" s="11"/>
      <c r="C879" s="11"/>
      <c r="F879" s="11"/>
    </row>
    <row r="880" ht="15.75" customHeight="1">
      <c r="B880" s="11"/>
      <c r="C880" s="11"/>
      <c r="F880" s="11"/>
    </row>
    <row r="881" ht="15.75" customHeight="1">
      <c r="B881" s="11"/>
      <c r="C881" s="11"/>
      <c r="F881" s="11"/>
    </row>
    <row r="882" ht="15.75" customHeight="1">
      <c r="B882" s="11"/>
      <c r="C882" s="11"/>
      <c r="F882" s="11"/>
    </row>
    <row r="883" ht="15.75" customHeight="1">
      <c r="B883" s="11"/>
      <c r="C883" s="11"/>
      <c r="F883" s="11"/>
    </row>
    <row r="884" ht="15.75" customHeight="1">
      <c r="B884" s="11"/>
      <c r="C884" s="11"/>
      <c r="F884" s="11"/>
    </row>
    <row r="885" ht="15.75" customHeight="1">
      <c r="B885" s="11"/>
      <c r="C885" s="11"/>
      <c r="F885" s="11"/>
    </row>
    <row r="886" ht="15.75" customHeight="1">
      <c r="B886" s="11"/>
      <c r="C886" s="11"/>
      <c r="F886" s="11"/>
    </row>
    <row r="887" ht="15.75" customHeight="1">
      <c r="B887" s="11"/>
      <c r="C887" s="11"/>
      <c r="F887" s="11"/>
    </row>
    <row r="888" ht="15.75" customHeight="1">
      <c r="B888" s="11"/>
      <c r="C888" s="11"/>
      <c r="F888" s="11"/>
    </row>
    <row r="889" ht="15.75" customHeight="1">
      <c r="B889" s="11"/>
      <c r="C889" s="11"/>
      <c r="F889" s="11"/>
    </row>
    <row r="890" ht="15.75" customHeight="1">
      <c r="B890" s="11"/>
      <c r="C890" s="11"/>
      <c r="F890" s="11"/>
    </row>
    <row r="891" ht="15.75" customHeight="1">
      <c r="B891" s="11"/>
      <c r="C891" s="11"/>
      <c r="F891" s="11"/>
    </row>
    <row r="892" ht="15.75" customHeight="1">
      <c r="B892" s="11"/>
      <c r="C892" s="11"/>
      <c r="F892" s="11"/>
    </row>
    <row r="893" ht="15.75" customHeight="1">
      <c r="B893" s="11"/>
      <c r="C893" s="11"/>
      <c r="F893" s="11"/>
    </row>
    <row r="894" ht="15.75" customHeight="1">
      <c r="B894" s="11"/>
      <c r="C894" s="11"/>
      <c r="F894" s="11"/>
    </row>
    <row r="895" ht="15.75" customHeight="1">
      <c r="B895" s="11"/>
      <c r="C895" s="11"/>
      <c r="F895" s="11"/>
    </row>
    <row r="896" ht="15.75" customHeight="1">
      <c r="B896" s="11"/>
      <c r="C896" s="11"/>
      <c r="F896" s="11"/>
    </row>
    <row r="897" ht="15.75" customHeight="1">
      <c r="B897" s="11"/>
      <c r="C897" s="11"/>
      <c r="F897" s="11"/>
    </row>
    <row r="898" ht="15.75" customHeight="1">
      <c r="B898" s="11"/>
      <c r="C898" s="11"/>
      <c r="F898" s="11"/>
    </row>
    <row r="899" ht="15.75" customHeight="1">
      <c r="B899" s="11"/>
      <c r="C899" s="11"/>
      <c r="F899" s="11"/>
    </row>
    <row r="900" ht="15.75" customHeight="1">
      <c r="B900" s="11"/>
      <c r="C900" s="11"/>
      <c r="F900" s="11"/>
    </row>
    <row r="901" ht="15.75" customHeight="1">
      <c r="B901" s="11"/>
      <c r="C901" s="11"/>
      <c r="F901" s="11"/>
    </row>
    <row r="902" ht="15.75" customHeight="1">
      <c r="B902" s="11"/>
      <c r="C902" s="11"/>
      <c r="F902" s="11"/>
    </row>
    <row r="903" ht="15.75" customHeight="1">
      <c r="B903" s="11"/>
      <c r="C903" s="11"/>
      <c r="F903" s="11"/>
    </row>
    <row r="904" ht="15.75" customHeight="1">
      <c r="B904" s="11"/>
      <c r="C904" s="11"/>
      <c r="F904" s="11"/>
    </row>
    <row r="905" ht="15.75" customHeight="1">
      <c r="B905" s="11"/>
      <c r="C905" s="11"/>
      <c r="F905" s="11"/>
    </row>
    <row r="906" ht="15.75" customHeight="1">
      <c r="B906" s="11"/>
      <c r="C906" s="11"/>
      <c r="F906" s="11"/>
    </row>
    <row r="907" ht="15.75" customHeight="1">
      <c r="B907" s="11"/>
      <c r="C907" s="11"/>
      <c r="F907" s="11"/>
    </row>
    <row r="908" ht="15.75" customHeight="1">
      <c r="B908" s="11"/>
      <c r="C908" s="11"/>
      <c r="F908" s="11"/>
    </row>
    <row r="909" ht="15.75" customHeight="1">
      <c r="B909" s="11"/>
      <c r="C909" s="11"/>
      <c r="F909" s="11"/>
    </row>
    <row r="910" ht="15.75" customHeight="1">
      <c r="B910" s="11"/>
      <c r="C910" s="11"/>
      <c r="F910" s="11"/>
    </row>
    <row r="911" ht="15.75" customHeight="1">
      <c r="B911" s="11"/>
      <c r="C911" s="11"/>
      <c r="F911" s="11"/>
    </row>
    <row r="912" ht="15.75" customHeight="1">
      <c r="B912" s="11"/>
      <c r="C912" s="11"/>
      <c r="F912" s="11"/>
    </row>
    <row r="913" ht="15.75" customHeight="1">
      <c r="B913" s="11"/>
      <c r="C913" s="11"/>
      <c r="F913" s="11"/>
    </row>
    <row r="914" ht="15.75" customHeight="1">
      <c r="B914" s="11"/>
      <c r="C914" s="11"/>
      <c r="F914" s="11"/>
    </row>
    <row r="915" ht="15.75" customHeight="1">
      <c r="B915" s="11"/>
      <c r="C915" s="11"/>
      <c r="F915" s="11"/>
    </row>
    <row r="916" ht="15.75" customHeight="1">
      <c r="B916" s="11"/>
      <c r="C916" s="11"/>
      <c r="F916" s="11"/>
    </row>
    <row r="917" ht="15.75" customHeight="1">
      <c r="B917" s="11"/>
      <c r="C917" s="11"/>
      <c r="F917" s="11"/>
    </row>
    <row r="918" ht="15.75" customHeight="1">
      <c r="B918" s="11"/>
      <c r="C918" s="11"/>
      <c r="F918" s="11"/>
    </row>
    <row r="919" ht="15.75" customHeight="1">
      <c r="B919" s="11"/>
      <c r="C919" s="11"/>
      <c r="F919" s="11"/>
    </row>
    <row r="920" ht="15.75" customHeight="1">
      <c r="B920" s="11"/>
      <c r="C920" s="11"/>
      <c r="F920" s="11"/>
    </row>
    <row r="921" ht="15.75" customHeight="1">
      <c r="B921" s="11"/>
      <c r="C921" s="11"/>
      <c r="F921" s="11"/>
    </row>
    <row r="922" ht="15.75" customHeight="1">
      <c r="B922" s="11"/>
      <c r="C922" s="11"/>
      <c r="F922" s="11"/>
    </row>
    <row r="923" ht="15.75" customHeight="1">
      <c r="B923" s="11"/>
      <c r="C923" s="11"/>
      <c r="F923" s="11"/>
    </row>
    <row r="924" ht="15.75" customHeight="1">
      <c r="B924" s="11"/>
      <c r="C924" s="11"/>
      <c r="F924" s="11"/>
    </row>
    <row r="925" ht="15.75" customHeight="1">
      <c r="B925" s="11"/>
      <c r="C925" s="11"/>
      <c r="F925" s="11"/>
    </row>
    <row r="926" ht="15.75" customHeight="1">
      <c r="B926" s="11"/>
      <c r="C926" s="11"/>
      <c r="F926" s="11"/>
    </row>
    <row r="927" ht="15.75" customHeight="1">
      <c r="B927" s="11"/>
      <c r="C927" s="11"/>
      <c r="F927" s="11"/>
    </row>
    <row r="928" ht="15.75" customHeight="1">
      <c r="B928" s="11"/>
      <c r="C928" s="11"/>
      <c r="F928" s="11"/>
    </row>
    <row r="929" ht="15.75" customHeight="1">
      <c r="B929" s="11"/>
      <c r="C929" s="11"/>
      <c r="F929" s="11"/>
    </row>
    <row r="930" ht="15.75" customHeight="1">
      <c r="B930" s="11"/>
      <c r="C930" s="11"/>
      <c r="F930" s="11"/>
    </row>
    <row r="931" ht="15.75" customHeight="1">
      <c r="B931" s="11"/>
      <c r="C931" s="11"/>
      <c r="F931" s="11"/>
    </row>
    <row r="932" ht="15.75" customHeight="1">
      <c r="B932" s="11"/>
      <c r="C932" s="11"/>
      <c r="F932" s="11"/>
    </row>
    <row r="933" ht="15.75" customHeight="1">
      <c r="B933" s="11"/>
      <c r="C933" s="11"/>
      <c r="F933" s="11"/>
    </row>
    <row r="934" ht="15.75" customHeight="1">
      <c r="B934" s="11"/>
      <c r="C934" s="11"/>
      <c r="F934" s="11"/>
    </row>
    <row r="935" ht="15.75" customHeight="1">
      <c r="B935" s="11"/>
      <c r="C935" s="11"/>
      <c r="F935" s="11"/>
    </row>
    <row r="936" ht="15.75" customHeight="1">
      <c r="B936" s="11"/>
      <c r="C936" s="11"/>
      <c r="F936" s="11"/>
    </row>
    <row r="937" ht="15.75" customHeight="1">
      <c r="B937" s="11"/>
      <c r="C937" s="11"/>
      <c r="F937" s="11"/>
    </row>
    <row r="938" ht="15.75" customHeight="1">
      <c r="B938" s="11"/>
      <c r="C938" s="11"/>
      <c r="F938" s="11"/>
    </row>
    <row r="939" ht="15.75" customHeight="1">
      <c r="B939" s="11"/>
      <c r="C939" s="11"/>
      <c r="F939" s="11"/>
    </row>
    <row r="940" ht="15.75" customHeight="1">
      <c r="B940" s="11"/>
      <c r="C940" s="11"/>
      <c r="F940" s="11"/>
    </row>
    <row r="941" ht="15.75" customHeight="1">
      <c r="B941" s="11"/>
      <c r="C941" s="11"/>
      <c r="F941" s="11"/>
    </row>
    <row r="942" ht="15.75" customHeight="1">
      <c r="B942" s="11"/>
      <c r="C942" s="11"/>
      <c r="F942" s="11"/>
    </row>
    <row r="943" ht="15.75" customHeight="1">
      <c r="B943" s="11"/>
      <c r="C943" s="11"/>
      <c r="F943" s="11"/>
    </row>
    <row r="944" ht="15.75" customHeight="1">
      <c r="B944" s="11"/>
      <c r="C944" s="11"/>
      <c r="F944" s="11"/>
    </row>
    <row r="945" ht="15.75" customHeight="1">
      <c r="B945" s="11"/>
      <c r="C945" s="11"/>
      <c r="F945" s="11"/>
    </row>
    <row r="946" ht="15.75" customHeight="1">
      <c r="B946" s="11"/>
      <c r="C946" s="11"/>
      <c r="F946" s="11"/>
    </row>
    <row r="947" ht="15.75" customHeight="1">
      <c r="B947" s="11"/>
      <c r="C947" s="11"/>
      <c r="F947" s="11"/>
    </row>
    <row r="948" ht="15.75" customHeight="1">
      <c r="B948" s="11"/>
      <c r="C948" s="11"/>
      <c r="F948" s="11"/>
    </row>
    <row r="949" ht="15.75" customHeight="1">
      <c r="B949" s="11"/>
      <c r="C949" s="11"/>
      <c r="F949" s="11"/>
    </row>
    <row r="950" ht="15.75" customHeight="1">
      <c r="B950" s="11"/>
      <c r="C950" s="11"/>
      <c r="F950" s="11"/>
    </row>
    <row r="951" ht="15.75" customHeight="1">
      <c r="B951" s="11"/>
      <c r="C951" s="11"/>
      <c r="F951" s="11"/>
    </row>
    <row r="952" ht="15.75" customHeight="1">
      <c r="B952" s="11"/>
      <c r="C952" s="11"/>
      <c r="F952" s="11"/>
    </row>
    <row r="953" ht="15.75" customHeight="1">
      <c r="B953" s="11"/>
      <c r="C953" s="11"/>
      <c r="F953" s="11"/>
    </row>
    <row r="954" ht="15.75" customHeight="1">
      <c r="B954" s="11"/>
      <c r="C954" s="11"/>
      <c r="F954" s="11"/>
    </row>
    <row r="955" ht="15.75" customHeight="1">
      <c r="B955" s="11"/>
      <c r="C955" s="11"/>
      <c r="F955" s="11"/>
    </row>
    <row r="956" ht="15.75" customHeight="1">
      <c r="B956" s="11"/>
      <c r="C956" s="11"/>
      <c r="F956" s="11"/>
    </row>
    <row r="957" ht="15.75" customHeight="1">
      <c r="B957" s="11"/>
      <c r="C957" s="11"/>
      <c r="F957" s="11"/>
    </row>
    <row r="958" ht="15.75" customHeight="1">
      <c r="B958" s="11"/>
      <c r="C958" s="11"/>
      <c r="F958" s="11"/>
    </row>
    <row r="959" ht="15.75" customHeight="1">
      <c r="B959" s="11"/>
      <c r="C959" s="11"/>
      <c r="F959" s="11"/>
    </row>
    <row r="960" ht="15.75" customHeight="1">
      <c r="B960" s="11"/>
      <c r="C960" s="11"/>
      <c r="F960" s="11"/>
    </row>
    <row r="961" ht="15.75" customHeight="1">
      <c r="B961" s="11"/>
      <c r="C961" s="11"/>
      <c r="F961" s="11"/>
    </row>
    <row r="962" ht="15.75" customHeight="1">
      <c r="B962" s="11"/>
      <c r="C962" s="11"/>
      <c r="F962" s="11"/>
    </row>
    <row r="963" ht="15.75" customHeight="1">
      <c r="B963" s="11"/>
      <c r="C963" s="11"/>
      <c r="F963" s="11"/>
    </row>
    <row r="964" ht="15.75" customHeight="1">
      <c r="B964" s="11"/>
      <c r="C964" s="11"/>
      <c r="F964" s="11"/>
    </row>
    <row r="965" ht="15.75" customHeight="1">
      <c r="B965" s="11"/>
      <c r="C965" s="11"/>
      <c r="F965" s="11"/>
    </row>
    <row r="966" ht="15.75" customHeight="1">
      <c r="B966" s="11"/>
      <c r="C966" s="11"/>
      <c r="F966" s="11"/>
    </row>
    <row r="967" ht="15.75" customHeight="1">
      <c r="B967" s="11"/>
      <c r="C967" s="11"/>
      <c r="F967" s="11"/>
    </row>
    <row r="968" ht="15.75" customHeight="1">
      <c r="B968" s="11"/>
      <c r="C968" s="11"/>
      <c r="F968" s="11"/>
    </row>
    <row r="969" ht="15.75" customHeight="1">
      <c r="B969" s="11"/>
      <c r="C969" s="11"/>
      <c r="F969" s="11"/>
    </row>
    <row r="970" ht="15.75" customHeight="1">
      <c r="B970" s="11"/>
      <c r="C970" s="11"/>
      <c r="F970" s="11"/>
    </row>
    <row r="971" ht="15.75" customHeight="1">
      <c r="B971" s="11"/>
      <c r="C971" s="11"/>
      <c r="F971" s="11"/>
    </row>
    <row r="972" ht="15.75" customHeight="1">
      <c r="B972" s="11"/>
      <c r="C972" s="11"/>
      <c r="F972" s="11"/>
    </row>
    <row r="973" ht="15.75" customHeight="1">
      <c r="B973" s="11"/>
      <c r="C973" s="11"/>
      <c r="F973" s="11"/>
    </row>
    <row r="974" ht="15.75" customHeight="1">
      <c r="B974" s="11"/>
      <c r="C974" s="11"/>
      <c r="F974" s="11"/>
    </row>
    <row r="975" ht="15.75" customHeight="1">
      <c r="B975" s="11"/>
      <c r="C975" s="11"/>
      <c r="F975" s="11"/>
    </row>
    <row r="976" ht="15.75" customHeight="1">
      <c r="B976" s="11"/>
      <c r="C976" s="11"/>
      <c r="F976" s="11"/>
    </row>
    <row r="977" ht="15.75" customHeight="1">
      <c r="B977" s="11"/>
      <c r="C977" s="11"/>
      <c r="F977" s="11"/>
    </row>
    <row r="978" ht="15.75" customHeight="1">
      <c r="B978" s="11"/>
      <c r="C978" s="11"/>
      <c r="F978" s="11"/>
    </row>
    <row r="979" ht="15.75" customHeight="1">
      <c r="B979" s="11"/>
      <c r="C979" s="11"/>
      <c r="F979" s="11"/>
    </row>
    <row r="980" ht="15.75" customHeight="1">
      <c r="B980" s="11"/>
      <c r="C980" s="11"/>
      <c r="F980" s="11"/>
    </row>
    <row r="981" ht="15.75" customHeight="1">
      <c r="B981" s="11"/>
      <c r="C981" s="11"/>
      <c r="F981" s="11"/>
    </row>
    <row r="982" ht="15.75" customHeight="1">
      <c r="B982" s="11"/>
      <c r="C982" s="11"/>
      <c r="F982" s="11"/>
    </row>
    <row r="983" ht="15.75" customHeight="1">
      <c r="B983" s="11"/>
      <c r="C983" s="11"/>
      <c r="F983" s="11"/>
    </row>
    <row r="984" ht="15.75" customHeight="1">
      <c r="B984" s="11"/>
      <c r="C984" s="11"/>
      <c r="F984" s="11"/>
    </row>
    <row r="985" ht="15.75" customHeight="1">
      <c r="B985" s="11"/>
      <c r="C985" s="11"/>
      <c r="F985" s="11"/>
    </row>
    <row r="986" ht="15.75" customHeight="1">
      <c r="B986" s="11"/>
      <c r="C986" s="11"/>
      <c r="F986" s="11"/>
    </row>
    <row r="987" ht="15.75" customHeight="1">
      <c r="B987" s="11"/>
      <c r="C987" s="11"/>
      <c r="F987" s="11"/>
    </row>
    <row r="988" ht="15.75" customHeight="1">
      <c r="B988" s="11"/>
      <c r="C988" s="11"/>
      <c r="F988" s="11"/>
    </row>
    <row r="989" ht="15.75" customHeight="1">
      <c r="B989" s="11"/>
      <c r="C989" s="11"/>
      <c r="F989" s="11"/>
    </row>
    <row r="990" ht="15.75" customHeight="1">
      <c r="B990" s="11"/>
      <c r="C990" s="11"/>
      <c r="F990" s="11"/>
    </row>
    <row r="991" ht="15.75" customHeight="1">
      <c r="B991" s="11"/>
      <c r="C991" s="11"/>
      <c r="F991" s="11"/>
    </row>
    <row r="992" ht="15.75" customHeight="1">
      <c r="B992" s="11"/>
      <c r="C992" s="11"/>
      <c r="F992" s="11"/>
    </row>
    <row r="993" ht="15.75" customHeight="1">
      <c r="B993" s="11"/>
      <c r="C993" s="11"/>
      <c r="F993" s="11"/>
    </row>
    <row r="994" ht="15.75" customHeight="1">
      <c r="B994" s="11"/>
      <c r="C994" s="11"/>
      <c r="F994" s="11"/>
    </row>
    <row r="995" ht="15.75" customHeight="1">
      <c r="B995" s="11"/>
      <c r="C995" s="11"/>
      <c r="F995" s="11"/>
    </row>
    <row r="996" ht="15.75" customHeight="1">
      <c r="B996" s="11"/>
      <c r="C996" s="11"/>
      <c r="F996" s="11"/>
    </row>
    <row r="997" ht="15.75" customHeight="1">
      <c r="B997" s="11"/>
      <c r="C997" s="11"/>
      <c r="F997" s="11"/>
    </row>
    <row r="998" ht="15.75" customHeight="1">
      <c r="B998" s="11"/>
      <c r="C998" s="11"/>
      <c r="F998" s="11"/>
    </row>
    <row r="999" ht="15.75" customHeight="1">
      <c r="B999" s="11"/>
      <c r="C999" s="11"/>
      <c r="F999" s="11"/>
    </row>
    <row r="1000" ht="15.75" customHeight="1">
      <c r="B1000" s="11"/>
      <c r="C1000" s="11"/>
      <c r="F1000" s="11"/>
    </row>
  </sheetData>
  <autoFilter ref="$A$1:$G$150"/>
  <dataValidations>
    <dataValidation type="list" allowBlank="1" sqref="C2:C1000">
      <formula1>"Salary,Bonus,Freelance,Gift,Refund,Other Income,Food,Transport,Bills,Shopping,Subscription,Entertainment,Health,Family,Travel,Education,Misc,Grocery"</formula1>
    </dataValidation>
    <dataValidation type="list" allowBlank="1" sqref="B2:B1000">
      <formula1>"Income,Expense"</formula1>
    </dataValidation>
    <dataValidation type="list" allowBlank="1" sqref="F2:F1000">
      <formula1>"Cash,PayNow,Credit Card,Debit Card,Bank Transfer,GIRO,GrabPay,Other"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22.0"/>
    <col customWidth="1" min="3" max="3" width="16.0"/>
    <col customWidth="1" min="4" max="4" width="22.0"/>
    <col customWidth="1" min="5" max="5" width="16.0"/>
    <col customWidth="1" min="6" max="6" width="22.0"/>
    <col customWidth="1" min="7" max="7" width="16.0"/>
    <col customWidth="1" min="8" max="9" width="2.0"/>
    <col customWidth="1" min="10" max="10" width="18.0"/>
    <col customWidth="1" min="11" max="12" width="14.0"/>
    <col customWidth="1" min="13" max="26" width="8.71"/>
  </cols>
  <sheetData>
    <row r="2" ht="31.5" customHeight="1">
      <c r="B2" s="13" t="s">
        <v>117</v>
      </c>
    </row>
    <row r="3" ht="18.0" customHeight="1">
      <c r="B3" s="14" t="s">
        <v>118</v>
      </c>
    </row>
    <row r="5" ht="21.75" customHeight="1">
      <c r="B5" s="15" t="s">
        <v>119</v>
      </c>
      <c r="C5" s="16"/>
      <c r="D5" s="17" t="s">
        <v>120</v>
      </c>
      <c r="E5" s="16"/>
      <c r="F5" s="18" t="s">
        <v>121</v>
      </c>
      <c r="G5" s="16"/>
    </row>
    <row r="6" ht="39.75" customHeight="1">
      <c r="B6" s="19">
        <f>SUMIFS(Transactions!E:E,Transactions!B:B,"Income",Transactions!A:A,"&gt;="&amp;DATE(YEAR(TODAY()),MONTH(TODAY()),1),Transactions!A:A,"&lt;="&amp;EOMONTH(TODAY(),0))</f>
        <v>6776.5</v>
      </c>
      <c r="C6" s="16"/>
      <c r="D6" s="19">
        <f>SUMIFS(Transactions!E:E,Transactions!B:B,"Expense",Transactions!A:A,"&gt;="&amp;DATE(YEAR(TODAY()),MONTH(TODAY()),1),Transactions!A:A,"&lt;="&amp;EOMONTH(TODAY(),0))</f>
        <v>3776.96</v>
      </c>
      <c r="E6" s="16"/>
      <c r="F6" s="19">
        <f>B6-D6</f>
        <v>2999.54</v>
      </c>
      <c r="G6" s="16"/>
    </row>
    <row r="8" ht="21.75" customHeight="1">
      <c r="B8" s="20" t="s">
        <v>122</v>
      </c>
      <c r="C8" s="16"/>
      <c r="D8" s="21" t="s">
        <v>123</v>
      </c>
      <c r="E8" s="16"/>
      <c r="F8" s="18" t="s">
        <v>124</v>
      </c>
      <c r="G8" s="16"/>
    </row>
    <row r="9" ht="37.5" customHeight="1">
      <c r="B9" s="22" t="str">
        <f t="array" ref="B9">IFERROR(INDEX($J$22:$J$32,MATCH(MAX($K$22:$K$32),$K$22:$K$32,0)),"—")</f>
        <v>Family</v>
      </c>
      <c r="C9" s="16"/>
      <c r="D9" s="23">
        <f>IFERROR(D6/DAY(EOMONTH(TODAY(),0)),0)</f>
        <v>121.8374194</v>
      </c>
      <c r="E9" s="16"/>
      <c r="F9" s="24">
        <f>COUNTIFS(Transactions!A:A,"&gt;="&amp;DATE(YEAR(TODAY()),MONTH(TODAY()),1),Transactions!A:A,"&lt;="&amp;EOMONTH(TODAY(),0))</f>
        <v>104</v>
      </c>
      <c r="G9" s="16"/>
    </row>
    <row r="11">
      <c r="J11" s="25" t="s">
        <v>125</v>
      </c>
    </row>
    <row r="12">
      <c r="J12" s="26" t="s">
        <v>126</v>
      </c>
      <c r="K12" s="26" t="s">
        <v>7</v>
      </c>
      <c r="L12" s="26" t="s">
        <v>10</v>
      </c>
    </row>
    <row r="13">
      <c r="J13" s="27" t="s">
        <v>127</v>
      </c>
      <c r="K13" s="28">
        <f>SUMIFS(Transactions!E:E,Transactions!B:B,"Income",Transactions!A:A,"&gt;="&amp;DATE(2026,2,1),Transactions!A:A,"&lt;"&amp;DATE(2026,3,1))</f>
        <v>0</v>
      </c>
      <c r="L13" s="28">
        <f>SUMIFS(Transactions!E:E,Transactions!B:B,"Expense",Transactions!A:A,"&gt;="&amp;DATE(2026,2,1),Transactions!A:A,"&lt;"&amp;DATE(2026,3,1))</f>
        <v>0</v>
      </c>
    </row>
    <row r="14">
      <c r="J14" s="27" t="s">
        <v>128</v>
      </c>
      <c r="K14" s="28">
        <f>SUMIFS(Transactions!E:E,Transactions!B:B,"Income",Transactions!A:A,"&gt;="&amp;DATE(2026,3,1),Transactions!A:A,"&lt;"&amp;DATE(2026,4,1))</f>
        <v>0</v>
      </c>
      <c r="L14" s="28">
        <f>SUMIFS(Transactions!E:E,Transactions!B:B,"Expense",Transactions!A:A,"&gt;="&amp;DATE(2026,3,1),Transactions!A:A,"&lt;"&amp;DATE(2026,4,1))</f>
        <v>0</v>
      </c>
    </row>
    <row r="15">
      <c r="J15" s="27" t="s">
        <v>129</v>
      </c>
      <c r="K15" s="28">
        <f>SUMIFS(Transactions!E:E,Transactions!B:B,"Income",Transactions!A:A,"&gt;="&amp;DATE(2026,4,1),Transactions!A:A,"&lt;"&amp;DATE(2026,5,1))</f>
        <v>8681.09</v>
      </c>
      <c r="L15" s="28">
        <f>SUMIFS(Transactions!E:E,Transactions!B:B,"Expense",Transactions!A:A,"&gt;="&amp;DATE(2026,4,1),Transactions!A:A,"&lt;"&amp;DATE(2026,5,1))</f>
        <v>590.359</v>
      </c>
    </row>
    <row r="16">
      <c r="J16" s="27" t="s">
        <v>130</v>
      </c>
      <c r="K16" s="28">
        <f>SUMIFS(Transactions!E:E,Transactions!B:B,"Income",Transactions!A:A,"&gt;="&amp;DATE(2026,5,1),Transactions!A:A,"&lt;"&amp;DATE(2026,6,1))</f>
        <v>6776.5</v>
      </c>
      <c r="L16" s="28">
        <f>SUMIFS(Transactions!E:E,Transactions!B:B,"Expense",Transactions!A:A,"&gt;="&amp;DATE(2026,5,1),Transactions!A:A,"&lt;"&amp;DATE(2026,6,1))</f>
        <v>3776.96</v>
      </c>
    </row>
    <row r="17">
      <c r="J17" s="27" t="s">
        <v>131</v>
      </c>
      <c r="K17" s="28">
        <f>SUMIFS(Transactions!E:E,Transactions!B:B,"Income",Transactions!A:A,"&gt;="&amp;DATE(2026,6,1),Transactions!A:A,"&lt;"&amp;DATE(2026,7,1))</f>
        <v>0</v>
      </c>
      <c r="L17" s="28">
        <f>SUMIFS(Transactions!E:E,Transactions!B:B,"Expense",Transactions!A:A,"&gt;="&amp;DATE(2026,6,1),Transactions!A:A,"&lt;"&amp;DATE(2026,7,1))</f>
        <v>0</v>
      </c>
    </row>
    <row r="18">
      <c r="J18" s="27" t="s">
        <v>132</v>
      </c>
      <c r="K18" s="28">
        <f>SUMIFS(Transactions!E:E,Transactions!B:B,"Income",Transactions!A:A,"&gt;="&amp;DATE(2026,7,1),Transactions!A:A,"&lt;"&amp;DATE(2026,8,1))</f>
        <v>0</v>
      </c>
      <c r="L18" s="28">
        <f>SUMIFS(Transactions!E:E,Transactions!B:B,"Expense",Transactions!A:A,"&gt;="&amp;DATE(2026,7,1),Transactions!A:A,"&lt;"&amp;DATE(2026,8,1))</f>
        <v>0</v>
      </c>
    </row>
    <row r="20">
      <c r="J20" s="25" t="s">
        <v>133</v>
      </c>
    </row>
    <row r="21" ht="15.75" customHeight="1">
      <c r="J21" s="26" t="s">
        <v>2</v>
      </c>
      <c r="K21" s="26" t="s">
        <v>4</v>
      </c>
    </row>
    <row r="22" ht="15.75" customHeight="1">
      <c r="J22" s="27" t="s">
        <v>19</v>
      </c>
      <c r="K22" s="28">
        <f>SUMIFS(Transactions!E:E,Transactions!B:B,"Expense",Transactions!C:C,"Food")</f>
        <v>847.14</v>
      </c>
    </row>
    <row r="23" ht="15.75" customHeight="1">
      <c r="J23" s="27" t="s">
        <v>21</v>
      </c>
      <c r="K23" s="28">
        <f>SUMIFS(Transactions!E:E,Transactions!B:B,"Expense",Transactions!C:C,"Transport")</f>
        <v>110.18</v>
      </c>
    </row>
    <row r="24" ht="15.75" customHeight="1">
      <c r="J24" s="27" t="s">
        <v>69</v>
      </c>
      <c r="K24" s="28">
        <f>SUMIFS(Transactions!E:E,Transactions!B:B,"Expense",Transactions!C:C,"Bills")</f>
        <v>240</v>
      </c>
    </row>
    <row r="25" ht="15.75" customHeight="1">
      <c r="J25" s="27" t="s">
        <v>15</v>
      </c>
      <c r="K25" s="28">
        <f>SUMIFS(Transactions!E:E,Transactions!B:B,"Expense",Transactions!C:C,"Shopping")</f>
        <v>486.98</v>
      </c>
    </row>
    <row r="26" ht="15.75" customHeight="1">
      <c r="J26" s="27" t="s">
        <v>11</v>
      </c>
      <c r="K26" s="28">
        <f>SUMIFS(Transactions!E:E,Transactions!B:B,"Expense",Transactions!C:C,"Subscription")</f>
        <v>437.369</v>
      </c>
    </row>
    <row r="27" ht="15.75" customHeight="1">
      <c r="J27" s="27" t="s">
        <v>27</v>
      </c>
      <c r="K27" s="28">
        <f>SUMIFS(Transactions!E:E,Transactions!B:B,"Expense",Transactions!C:C,"Entertainment")</f>
        <v>180</v>
      </c>
    </row>
    <row r="28" ht="15.75" customHeight="1">
      <c r="J28" s="27" t="s">
        <v>134</v>
      </c>
      <c r="K28" s="28">
        <f>SUMIFS(Transactions!E:E,Transactions!B:B,"Expense",Transactions!C:C,"Health")</f>
        <v>0</v>
      </c>
    </row>
    <row r="29" ht="15.75" customHeight="1">
      <c r="J29" s="27" t="s">
        <v>112</v>
      </c>
      <c r="K29" s="28">
        <f>SUMIFS(Transactions!E:E,Transactions!B:B,"Expense",Transactions!C:C,"Family")</f>
        <v>1000</v>
      </c>
    </row>
    <row r="30" ht="15.75" customHeight="1">
      <c r="J30" s="27" t="s">
        <v>86</v>
      </c>
      <c r="K30" s="28">
        <f>SUMIFS(Transactions!E:E,Transactions!B:B,"Expense",Transactions!C:C,"Travel")</f>
        <v>563.95</v>
      </c>
    </row>
    <row r="31" ht="15.75" customHeight="1">
      <c r="J31" s="27" t="s">
        <v>109</v>
      </c>
      <c r="K31" s="28">
        <f>SUMIFS(Transactions!E:E,Transactions!B:B,"Expense",Transactions!C:C,"Education")</f>
        <v>8.88</v>
      </c>
    </row>
    <row r="32" ht="15.75" customHeight="1">
      <c r="J32" s="27" t="s">
        <v>38</v>
      </c>
      <c r="K32" s="28">
        <f>SUMIFS(Transactions!E:E,Transactions!B:B,"Expense",Transactions!C:C,"Misc")</f>
        <v>199</v>
      </c>
    </row>
    <row r="33" ht="15.75" customHeight="1"/>
    <row r="34" ht="15.75" customHeight="1">
      <c r="J34" s="25" t="s">
        <v>135</v>
      </c>
    </row>
    <row r="35" ht="15.75" customHeight="1">
      <c r="J35" s="26" t="s">
        <v>136</v>
      </c>
      <c r="K35" s="26" t="s">
        <v>137</v>
      </c>
    </row>
    <row r="36" ht="15.75" customHeight="1">
      <c r="J36" s="29">
        <v>46048.0</v>
      </c>
      <c r="K36" s="28">
        <f>SUMIFS(Transactions!E:E,Transactions!B:B,"Expense",Transactions!A:A,"&gt;="&amp;DATE(2026,1,26),Transactions!A:A,"&lt;"&amp;DATE(2026,2,2))</f>
        <v>0</v>
      </c>
    </row>
    <row r="37" ht="15.75" customHeight="1">
      <c r="J37" s="29">
        <v>46055.0</v>
      </c>
      <c r="K37" s="28">
        <f>SUMIFS(Transactions!E:E,Transactions!B:B,"Expense",Transactions!A:A,"&gt;="&amp;DATE(2026,2,2),Transactions!A:A,"&lt;"&amp;DATE(2026,2,9))</f>
        <v>0</v>
      </c>
    </row>
    <row r="38" ht="15.75" customHeight="1">
      <c r="J38" s="29">
        <v>46062.0</v>
      </c>
      <c r="K38" s="28">
        <f>SUMIFS(Transactions!E:E,Transactions!B:B,"Expense",Transactions!A:A,"&gt;="&amp;DATE(2026,2,9),Transactions!A:A,"&lt;"&amp;DATE(2026,2,16))</f>
        <v>0</v>
      </c>
    </row>
    <row r="39" ht="15.75" customHeight="1">
      <c r="J39" s="29">
        <v>46069.0</v>
      </c>
      <c r="K39" s="28">
        <f>SUMIFS(Transactions!E:E,Transactions!B:B,"Expense",Transactions!A:A,"&gt;="&amp;DATE(2026,2,16),Transactions!A:A,"&lt;"&amp;DATE(2026,2,23))</f>
        <v>0</v>
      </c>
    </row>
    <row r="40" ht="15.75" customHeight="1">
      <c r="J40" s="29">
        <v>46076.0</v>
      </c>
      <c r="K40" s="28">
        <f>SUMIFS(Transactions!E:E,Transactions!B:B,"Expense",Transactions!A:A,"&gt;="&amp;DATE(2026,2,23),Transactions!A:A,"&lt;"&amp;DATE(2026,3,2))</f>
        <v>0</v>
      </c>
    </row>
    <row r="41" ht="15.75" customHeight="1">
      <c r="J41" s="29">
        <v>46083.0</v>
      </c>
      <c r="K41" s="28">
        <f>SUMIFS(Transactions!E:E,Transactions!B:B,"Expense",Transactions!A:A,"&gt;="&amp;DATE(2026,3,2),Transactions!A:A,"&lt;"&amp;DATE(2026,3,9))</f>
        <v>0</v>
      </c>
    </row>
    <row r="42" ht="15.75" customHeight="1">
      <c r="J42" s="29">
        <v>46090.0</v>
      </c>
      <c r="K42" s="28">
        <f>SUMIFS(Transactions!E:E,Transactions!B:B,"Expense",Transactions!A:A,"&gt;="&amp;DATE(2026,3,9),Transactions!A:A,"&lt;"&amp;DATE(2026,3,16))</f>
        <v>0</v>
      </c>
    </row>
    <row r="43" ht="15.75" customHeight="1">
      <c r="J43" s="29">
        <v>46097.0</v>
      </c>
      <c r="K43" s="28">
        <f>SUMIFS(Transactions!E:E,Transactions!B:B,"Expense",Transactions!A:A,"&gt;="&amp;DATE(2026,3,16),Transactions!A:A,"&lt;"&amp;DATE(2026,3,23))</f>
        <v>0</v>
      </c>
    </row>
    <row r="44" ht="15.75" customHeight="1">
      <c r="J44" s="29">
        <v>46104.0</v>
      </c>
      <c r="K44" s="28">
        <f>SUMIFS(Transactions!E:E,Transactions!B:B,"Expense",Transactions!A:A,"&gt;="&amp;DATE(2026,3,23),Transactions!A:A,"&lt;"&amp;DATE(2026,3,30))</f>
        <v>0</v>
      </c>
    </row>
    <row r="45" ht="15.75" customHeight="1">
      <c r="J45" s="29">
        <v>46111.0</v>
      </c>
      <c r="K45" s="28">
        <f>SUMIFS(Transactions!E:E,Transactions!B:B,"Expense",Transactions!A:A,"&gt;="&amp;DATE(2026,3,30),Transactions!A:A,"&lt;"&amp;DATE(2026,4,6))</f>
        <v>0</v>
      </c>
    </row>
    <row r="46" ht="15.75" customHeight="1">
      <c r="J46" s="29">
        <v>46118.0</v>
      </c>
      <c r="K46" s="28">
        <f>SUMIFS(Transactions!E:E,Transactions!B:B,"Expense",Transactions!A:A,"&gt;="&amp;DATE(2026,4,6),Transactions!A:A,"&lt;"&amp;DATE(2026,4,13))</f>
        <v>0</v>
      </c>
    </row>
    <row r="47" ht="15.75" customHeight="1">
      <c r="J47" s="29">
        <v>46125.0</v>
      </c>
      <c r="K47" s="28">
        <f>SUMIFS(Transactions!E:E,Transactions!B:B,"Expense",Transactions!A:A,"&gt;="&amp;DATE(2026,4,13),Transactions!A:A,"&lt;"&amp;DATE(2026,4,20))</f>
        <v>168.099</v>
      </c>
    </row>
    <row r="48" ht="15.75" customHeight="1"/>
    <row r="49" ht="15.75" customHeight="1"/>
    <row r="50" ht="15.75" customHeight="1">
      <c r="J50" s="25" t="s">
        <v>138</v>
      </c>
    </row>
    <row r="51" ht="15.75" customHeight="1">
      <c r="J51" s="26" t="s">
        <v>139</v>
      </c>
      <c r="K51" s="26" t="s">
        <v>2</v>
      </c>
      <c r="L51" s="26" t="s">
        <v>4</v>
      </c>
    </row>
    <row r="52" ht="15.75" customHeight="1">
      <c r="J52" s="27">
        <v>1.0</v>
      </c>
      <c r="K52" s="27" t="str">
        <f t="array" ref="K52">IFERROR(INDEX($J$22:$J$32,MATCH(LARGE($K$22:$K$32,1),$K$22:$K$32,0)),"")</f>
        <v>Family</v>
      </c>
      <c r="L52" s="28">
        <f>IFERROR(LARGE($K$22:$K$32,1),0)</f>
        <v>1000</v>
      </c>
    </row>
    <row r="53" ht="15.75" customHeight="1">
      <c r="J53" s="27">
        <v>2.0</v>
      </c>
      <c r="K53" s="27" t="str">
        <f t="array" ref="K53">IFERROR(INDEX($J$22:$J$32,MATCH(LARGE($K$22:$K$32,2),$K$22:$K$32,0)),"")</f>
        <v>Food</v>
      </c>
      <c r="L53" s="28">
        <f>IFERROR(LARGE($K$22:$K$32,2),0)</f>
        <v>847.14</v>
      </c>
    </row>
    <row r="54" ht="15.75" customHeight="1">
      <c r="J54" s="27">
        <v>3.0</v>
      </c>
      <c r="K54" s="27" t="str">
        <f t="array" ref="K54">IFERROR(INDEX($J$22:$J$32,MATCH(LARGE($K$22:$K$32,3),$K$22:$K$32,0)),"")</f>
        <v>Travel</v>
      </c>
      <c r="L54" s="28">
        <f>IFERROR(LARGE($K$22:$K$32,3),0)</f>
        <v>563.95</v>
      </c>
    </row>
    <row r="55" ht="15.75" customHeight="1">
      <c r="J55" s="27">
        <v>4.0</v>
      </c>
      <c r="K55" s="27" t="str">
        <f t="array" ref="K55">IFERROR(INDEX($J$22:$J$32,MATCH(LARGE($K$22:$K$32,4),$K$22:$K$32,0)),"")</f>
        <v>Shopping</v>
      </c>
      <c r="L55" s="28">
        <f>IFERROR(LARGE($K$22:$K$32,4),0)</f>
        <v>486.98</v>
      </c>
    </row>
    <row r="56" ht="15.75" customHeight="1">
      <c r="J56" s="27">
        <v>5.0</v>
      </c>
      <c r="K56" s="27" t="str">
        <f t="array" ref="K56">IFERROR(INDEX($J$22:$J$32,MATCH(LARGE($K$22:$K$32,5),$K$22:$K$32,0)),"")</f>
        <v>Subscription</v>
      </c>
      <c r="L56" s="28">
        <f>IFERROR(LARGE($K$22:$K$32,5),0)</f>
        <v>437.369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G2"/>
    <mergeCell ref="B3:G3"/>
    <mergeCell ref="B5:C5"/>
    <mergeCell ref="D5:E5"/>
    <mergeCell ref="F5:G5"/>
    <mergeCell ref="D6:E6"/>
    <mergeCell ref="F6:G6"/>
    <mergeCell ref="J11:L11"/>
    <mergeCell ref="J20:L20"/>
    <mergeCell ref="J34:L34"/>
    <mergeCell ref="J50:L50"/>
    <mergeCell ref="B6:C6"/>
    <mergeCell ref="B8:C8"/>
    <mergeCell ref="D8:E8"/>
    <mergeCell ref="F8:G8"/>
    <mergeCell ref="B9:C9"/>
    <mergeCell ref="D9:E9"/>
    <mergeCell ref="F9:G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0"/>
    <col customWidth="1" min="2" max="2" width="20.0"/>
    <col customWidth="1" min="3" max="5" width="16.0"/>
    <col customWidth="1" min="6" max="7" width="14.0"/>
    <col customWidth="1" min="8" max="25" width="8.71"/>
    <col customWidth="1" hidden="1" min="26" max="30" width="13.0"/>
  </cols>
  <sheetData>
    <row r="2">
      <c r="B2" s="30" t="s">
        <v>140</v>
      </c>
      <c r="Z2" s="11" t="str">
        <f>IFERROR(IF(Transactions!B2="Expense",Transactions!E2+ROW()/10000000,""),"")</f>
        <v/>
      </c>
      <c r="AA2" s="31" t="str">
        <f>IFERROR(IF(Transactions!B2="Expense",Transactions!A2,""),"")</f>
        <v/>
      </c>
      <c r="AB2" s="11" t="str">
        <f>IFERROR(IF(Transactions!B2="Expense",Transactions!C2,""),"")</f>
        <v/>
      </c>
      <c r="AC2" s="11" t="str">
        <f>IFERROR(IF(Transactions!B2="Expense",Transactions!D2,""),"")</f>
        <v/>
      </c>
      <c r="AD2" s="11" t="str">
        <f>IFERROR(IF(Transactions!B2="Expense",Transactions!E2,""),"")</f>
        <v/>
      </c>
    </row>
    <row r="3">
      <c r="B3" s="14" t="s">
        <v>141</v>
      </c>
      <c r="Z3" s="11">
        <f>IFERROR(IF(Transactions!B3="Expense",Transactions!E3+ROW()/10000000,""),"")</f>
        <v>4.9990003</v>
      </c>
      <c r="AA3" s="31">
        <f>IFERROR(IF(Transactions!B3="Expense",Transactions!A3,""),"")</f>
        <v>46127</v>
      </c>
      <c r="AB3" s="11" t="str">
        <f>IFERROR(IF(Transactions!B3="Expense",Transactions!C3,""),"")</f>
        <v>Subscription</v>
      </c>
      <c r="AC3" s="11" t="str">
        <f>IFERROR(IF(Transactions!B3="Expense",Transactions!D3,""),"")</f>
        <v>Prime</v>
      </c>
      <c r="AD3" s="12">
        <f>IFERROR(IF(Transactions!B3="Expense",Transactions!E3,""),"")</f>
        <v>4.999</v>
      </c>
    </row>
    <row r="4">
      <c r="Z4" s="11">
        <f>IFERROR(IF(Transactions!B4="Expense",Transactions!E4+ROW()/10000000,""),"")</f>
        <v>6.5800004</v>
      </c>
      <c r="AA4" s="31">
        <f>IFERROR(IF(Transactions!B4="Expense",Transactions!A4,""),"")</f>
        <v>46130</v>
      </c>
      <c r="AB4" s="11" t="str">
        <f>IFERROR(IF(Transactions!B4="Expense",Transactions!C4,""),"")</f>
        <v>Shopping</v>
      </c>
      <c r="AC4" s="11" t="str">
        <f>IFERROR(IF(Transactions!B4="Expense",Transactions!D4,""),"")</f>
        <v>Shoppee</v>
      </c>
      <c r="AD4" s="12">
        <f>IFERROR(IF(Transactions!B4="Expense",Transactions!E4,""),"")</f>
        <v>6.58</v>
      </c>
    </row>
    <row r="5" ht="24.0" customHeight="1">
      <c r="B5" s="32" t="s">
        <v>142</v>
      </c>
      <c r="C5" s="33"/>
      <c r="D5" s="33"/>
      <c r="E5" s="33"/>
      <c r="F5" s="33"/>
      <c r="G5" s="34"/>
      <c r="Z5" s="11">
        <f>IFERROR(IF(Transactions!B5="Expense",Transactions!E5+ROW()/10000000,""),"")</f>
        <v>5.4600005</v>
      </c>
      <c r="AA5" s="31">
        <f>IFERROR(IF(Transactions!B5="Expense",Transactions!A5,""),"")</f>
        <v>46131</v>
      </c>
      <c r="AB5" s="11" t="str">
        <f>IFERROR(IF(Transactions!B5="Expense",Transactions!C5,""),"")</f>
        <v>Shopping</v>
      </c>
      <c r="AC5" s="11" t="str">
        <f>IFERROR(IF(Transactions!B5="Expense",Transactions!D5,""),"")</f>
        <v>Shoppee</v>
      </c>
      <c r="AD5" s="12">
        <f>IFERROR(IF(Transactions!B5="Expense",Transactions!E5,""),"")</f>
        <v>5.46</v>
      </c>
    </row>
    <row r="6">
      <c r="B6" s="35" t="s">
        <v>126</v>
      </c>
      <c r="C6" s="35" t="s">
        <v>7</v>
      </c>
      <c r="D6" s="35" t="s">
        <v>10</v>
      </c>
      <c r="E6" s="35" t="s">
        <v>143</v>
      </c>
      <c r="F6" s="35" t="s">
        <v>144</v>
      </c>
      <c r="Z6" s="11">
        <f>IFERROR(IF(Transactions!B6="Expense",Transactions!E6+ROW()/10000000,""),"")</f>
        <v>6.5400006</v>
      </c>
      <c r="AA6" s="31">
        <f>IFERROR(IF(Transactions!B6="Expense",Transactions!A6,""),"")</f>
        <v>46127</v>
      </c>
      <c r="AB6" s="11" t="str">
        <f>IFERROR(IF(Transactions!B6="Expense",Transactions!C6,""),"")</f>
        <v>Shopping</v>
      </c>
      <c r="AC6" s="11" t="str">
        <f>IFERROR(IF(Transactions!B6="Expense",Transactions!D6,""),"")</f>
        <v>Tiktok</v>
      </c>
      <c r="AD6" s="12">
        <f>IFERROR(IF(Transactions!B6="Expense",Transactions!E6,""),"")</f>
        <v>6.54</v>
      </c>
    </row>
    <row r="7">
      <c r="B7" s="36" t="s">
        <v>129</v>
      </c>
      <c r="C7" s="37">
        <f>SUMIFS(Transactions!E:E,Transactions!B:B,"Income",Transactions!A:A,"&gt;="&amp;DATE(2026,4,1),Transactions!A:A,"&lt;"&amp;DATE(2026,5,1))</f>
        <v>8681.09</v>
      </c>
      <c r="D7" s="37">
        <f>SUMIFS(Transactions!E:E,Transactions!B:B,"Expense",Transactions!A:A,"&gt;="&amp;DATE(2026,4,1),Transactions!A:A,"&lt;"&amp;DATE(2026,5,1))</f>
        <v>590.359</v>
      </c>
      <c r="E7" s="37">
        <f t="shared" ref="E7:E10" si="1">C7-D7</f>
        <v>8090.731</v>
      </c>
      <c r="F7" s="38">
        <f t="shared" ref="F7:F10" si="2">IFERROR((C7-D7)/C7,0)</f>
        <v>0.9319948301</v>
      </c>
      <c r="Z7" s="11">
        <f>IFERROR(IF(Transactions!B9="Expense",Transactions!E9+ROW()/10000000,""),"")</f>
        <v>8.1000007</v>
      </c>
      <c r="AA7" s="31">
        <f>IFERROR(IF(Transactions!B9="Expense",Transactions!A9,""),"")</f>
        <v>46129</v>
      </c>
      <c r="AB7" s="11" t="str">
        <f>IFERROR(IF(Transactions!B9="Expense",Transactions!C9,""),"")</f>
        <v>Food</v>
      </c>
      <c r="AC7" s="11" t="str">
        <f>IFERROR(IF(Transactions!B9="Expense",Transactions!D9,""),"")</f>
        <v>Chicken Rice</v>
      </c>
      <c r="AD7" s="12">
        <f>IFERROR(IF(Transactions!B9="Expense",Transactions!E9,""),"")</f>
        <v>8.1</v>
      </c>
    </row>
    <row r="8">
      <c r="B8" s="36" t="s">
        <v>130</v>
      </c>
      <c r="C8" s="37">
        <f>SUMIFS(Transactions!E:E,Transactions!B:B,"Income",Transactions!A:A,"&gt;="&amp;DATE(2026,5,1),Transactions!A:A,"&lt;"&amp;DATE(2026,6,1))</f>
        <v>6776.5</v>
      </c>
      <c r="D8" s="37">
        <f>SUMIFS(Transactions!E:E,Transactions!B:B,"Expense",Transactions!A:A,"&gt;="&amp;DATE(2026,5,1),Transactions!A:A,"&lt;"&amp;DATE(2026,6,1))</f>
        <v>3776.96</v>
      </c>
      <c r="E8" s="37">
        <f t="shared" si="1"/>
        <v>2999.54</v>
      </c>
      <c r="F8" s="38">
        <f t="shared" si="2"/>
        <v>0.4426385302</v>
      </c>
      <c r="Z8" s="11">
        <f>IFERROR(IF(Transactions!B10="Expense",Transactions!E10+ROW()/10000000,""),"")</f>
        <v>16.5000008</v>
      </c>
      <c r="AA8" s="31">
        <f>IFERROR(IF(Transactions!B10="Expense",Transactions!A10,""),"")</f>
        <v>46130</v>
      </c>
      <c r="AB8" s="11" t="str">
        <f>IFERROR(IF(Transactions!B10="Expense",Transactions!C10,""),"")</f>
        <v>Shopping</v>
      </c>
      <c r="AC8" s="11" t="str">
        <f>IFERROR(IF(Transactions!B10="Expense",Transactions!D10,""),"")</f>
        <v>Amazon Cookie</v>
      </c>
      <c r="AD8" s="11">
        <f>IFERROR(IF(Transactions!B10="Expense",Transactions!E10,""),"")</f>
        <v>16.5</v>
      </c>
    </row>
    <row r="9">
      <c r="B9" s="36" t="s">
        <v>131</v>
      </c>
      <c r="C9" s="37">
        <f>SUMIFS(Transactions!E:E,Transactions!B:B,"Income",Transactions!A:A,"&gt;="&amp;DATE(2026,6,1),Transactions!A:A,"&lt;"&amp;DATE(2026,7,1))</f>
        <v>0</v>
      </c>
      <c r="D9" s="37">
        <f>SUMIFS(Transactions!E:E,Transactions!B:B,"Expense",Transactions!A:A,"&gt;="&amp;DATE(2026,6,1),Transactions!A:A,"&lt;"&amp;DATE(2026,7,1))</f>
        <v>0</v>
      </c>
      <c r="E9" s="37">
        <f t="shared" si="1"/>
        <v>0</v>
      </c>
      <c r="F9" s="38">
        <f t="shared" si="2"/>
        <v>0</v>
      </c>
      <c r="Z9" s="11">
        <f>IFERROR(IF(Transactions!B11="Expense",Transactions!E11+ROW()/10000000,""),"")</f>
        <v>13.9800009</v>
      </c>
      <c r="AA9" s="31">
        <f>IFERROR(IF(Transactions!B11="Expense",Transactions!A11,""),"")</f>
        <v>46130</v>
      </c>
      <c r="AB9" s="11" t="str">
        <f>IFERROR(IF(Transactions!B11="Expense",Transactions!C11,""),"")</f>
        <v>Subscription</v>
      </c>
      <c r="AC9" s="11" t="str">
        <f>IFERROR(IF(Transactions!B11="Expense",Transactions!D11,""),"")</f>
        <v>iCloud</v>
      </c>
      <c r="AD9" s="12">
        <f>IFERROR(IF(Transactions!B11="Expense",Transactions!E11,""),"")</f>
        <v>13.98</v>
      </c>
    </row>
    <row r="10">
      <c r="B10" s="36" t="s">
        <v>132</v>
      </c>
      <c r="C10" s="37">
        <f>SUMIFS(Transactions!E:E,Transactions!B:B,"Income",Transactions!A:A,"&gt;="&amp;DATE(2026,7,1),Transactions!A:A,"&lt;"&amp;DATE(2026,8,1))</f>
        <v>0</v>
      </c>
      <c r="D10" s="37">
        <f>SUMIFS(Transactions!E:E,Transactions!B:B,"Expense",Transactions!A:A,"&gt;="&amp;DATE(2026,7,1),Transactions!A:A,"&lt;"&amp;DATE(2026,8,1))</f>
        <v>0</v>
      </c>
      <c r="E10" s="37">
        <f t="shared" si="1"/>
        <v>0</v>
      </c>
      <c r="F10" s="38">
        <f t="shared" si="2"/>
        <v>0</v>
      </c>
      <c r="Z10" s="11">
        <f>IFERROR(IF(Transactions!B12="Expense",Transactions!E12+ROW()/10000000,""),"")</f>
        <v>25.880001</v>
      </c>
      <c r="AA10" s="31">
        <f>IFERROR(IF(Transactions!B12="Expense",Transactions!A12,""),"")</f>
        <v>46130</v>
      </c>
      <c r="AB10" s="11" t="str">
        <f>IFERROR(IF(Transactions!B12="Expense",Transactions!C12,""),"")</f>
        <v>Grocery</v>
      </c>
      <c r="AC10" s="11" t="str">
        <f>IFERROR(IF(Transactions!B12="Expense",Transactions!D12,""),"")</f>
        <v>Fairprice</v>
      </c>
      <c r="AD10" s="12">
        <f>IFERROR(IF(Transactions!B12="Expense",Transactions!E12,""),"")</f>
        <v>25.88</v>
      </c>
    </row>
    <row r="11">
      <c r="B11" s="39" t="s">
        <v>145</v>
      </c>
      <c r="C11" s="40">
        <f t="shared" ref="C11:E11" si="3">SUM(C7:C10)</f>
        <v>15457.59</v>
      </c>
      <c r="D11" s="40">
        <f t="shared" si="3"/>
        <v>4367.319</v>
      </c>
      <c r="E11" s="40">
        <f t="shared" si="3"/>
        <v>11090.271</v>
      </c>
      <c r="F11" s="41">
        <f>IFERROR(E11/C11,0)</f>
        <v>0.7174644301</v>
      </c>
      <c r="Z11" s="11">
        <f>IFERROR(IF(Transactions!B13="Expense",Transactions!E13+ROW()/10000000,""),"")</f>
        <v>18.0000011</v>
      </c>
      <c r="AA11" s="31">
        <f>IFERROR(IF(Transactions!B13="Expense",Transactions!A13,""),"")</f>
        <v>46131</v>
      </c>
      <c r="AB11" s="11" t="str">
        <f>IFERROR(IF(Transactions!B13="Expense",Transactions!C13,""),"")</f>
        <v>Entertainment</v>
      </c>
      <c r="AC11" s="11" t="str">
        <f>IFERROR(IF(Transactions!B13="Expense",Transactions!D13,""),"")</f>
        <v>Pokemon Card</v>
      </c>
      <c r="AD11" s="12">
        <f>IFERROR(IF(Transactions!B13="Expense",Transactions!E13,""),"")</f>
        <v>18</v>
      </c>
    </row>
    <row r="12">
      <c r="Z12" s="11">
        <f>IFERROR(IF(Transactions!B14="Expense",Transactions!E14+ROW()/10000000,""),"")</f>
        <v>17.4600012</v>
      </c>
      <c r="AA12" s="31">
        <f>IFERROR(IF(Transactions!B14="Expense",Transactions!A14,""),"")</f>
        <v>46129</v>
      </c>
      <c r="AB12" s="11" t="str">
        <f>IFERROR(IF(Transactions!B14="Expense",Transactions!C14,""),"")</f>
        <v>Subscription</v>
      </c>
      <c r="AC12" s="11" t="str">
        <f>IFERROR(IF(Transactions!B14="Expense",Transactions!D14,""),"")</f>
        <v>Spotify</v>
      </c>
      <c r="AD12" s="12">
        <f>IFERROR(IF(Transactions!B14="Expense",Transactions!E14,""),"")</f>
        <v>17.46</v>
      </c>
    </row>
    <row r="13">
      <c r="Z13" s="11">
        <f>IFERROR(IF(Transactions!B15="Expense",Transactions!E15+ROW()/10000000,""),"")</f>
        <v>11.8000013</v>
      </c>
      <c r="AA13" s="31">
        <f>IFERROR(IF(Transactions!B15="Expense",Transactions!A15,""),"")</f>
        <v>46127</v>
      </c>
      <c r="AB13" s="11" t="str">
        <f>IFERROR(IF(Transactions!B15="Expense",Transactions!C15,""),"")</f>
        <v>Food</v>
      </c>
      <c r="AC13" s="11" t="str">
        <f>IFERROR(IF(Transactions!B15="Expense",Transactions!D15,""),"")</f>
        <v>Wokhey</v>
      </c>
      <c r="AD13" s="12">
        <f>IFERROR(IF(Transactions!B15="Expense",Transactions!E15,""),"")</f>
        <v>11.8</v>
      </c>
    </row>
    <row r="14" ht="24.0" customHeight="1">
      <c r="B14" s="32" t="s">
        <v>146</v>
      </c>
      <c r="C14" s="33"/>
      <c r="D14" s="33"/>
      <c r="E14" s="33"/>
      <c r="F14" s="33"/>
      <c r="G14" s="34"/>
      <c r="Z14" s="11">
        <f>IFERROR(IF(Transactions!B16="Expense",Transactions!E16+ROW()/10000000,""),"")</f>
        <v>13.7000014</v>
      </c>
      <c r="AA14" s="31">
        <f>IFERROR(IF(Transactions!B16="Expense",Transactions!A16,""),"")</f>
        <v>46131</v>
      </c>
      <c r="AB14" s="11" t="str">
        <f>IFERROR(IF(Transactions!B16="Expense",Transactions!C16,""),"")</f>
        <v>Food</v>
      </c>
      <c r="AC14" s="11" t="str">
        <f>IFERROR(IF(Transactions!B16="Expense",Transactions!D16,""),"")</f>
        <v>Popeye</v>
      </c>
      <c r="AD14" s="12">
        <f>IFERROR(IF(Transactions!B16="Expense",Transactions!E16,""),"")</f>
        <v>13.7</v>
      </c>
    </row>
    <row r="15">
      <c r="B15" s="35" t="s">
        <v>2</v>
      </c>
      <c r="C15" s="35" t="s">
        <v>147</v>
      </c>
      <c r="D15" s="35" t="s">
        <v>148</v>
      </c>
      <c r="E15" s="35" t="s">
        <v>149</v>
      </c>
      <c r="F15" s="35" t="s">
        <v>150</v>
      </c>
      <c r="Z15" s="11" t="str">
        <f>IFERROR(IF(Transactions!B17="Expense",Transactions!E17+ROW()/10000000,""),"")</f>
        <v/>
      </c>
      <c r="AA15" s="31" t="str">
        <f>IFERROR(IF(Transactions!B17="Expense",Transactions!A17,""),"")</f>
        <v/>
      </c>
      <c r="AB15" s="11" t="str">
        <f>IFERROR(IF(Transactions!B17="Expense",Transactions!C17,""),"")</f>
        <v/>
      </c>
      <c r="AC15" s="11" t="str">
        <f>IFERROR(IF(Transactions!B17="Expense",Transactions!D17,""),"")</f>
        <v/>
      </c>
      <c r="AD15" s="11" t="str">
        <f>IFERROR(IF(Transactions!B17="Expense",Transactions!E17,""),"")</f>
        <v/>
      </c>
    </row>
    <row r="16">
      <c r="B16" s="36" t="s">
        <v>19</v>
      </c>
      <c r="C16" s="37">
        <f>SUMIFS(Transactions!E:E,Transactions!B:B,"Expense",Transactions!C:C,"Food")</f>
        <v>847.14</v>
      </c>
      <c r="D16" s="38">
        <f>IFERROR(C16/SUMIFS(Transactions!E:E,Transactions!B:B,"Expense"),0)</f>
        <v>0.1939725493</v>
      </c>
      <c r="E16" s="42">
        <f>COUNTIFS(Transactions!B:B,"Expense",Transactions!C:C,"Food")</f>
        <v>57</v>
      </c>
      <c r="F16" s="37">
        <f t="shared" ref="F16:F27" si="4">IFERROR(C16/E16,0)</f>
        <v>14.86210526</v>
      </c>
      <c r="Z16" s="11" t="str">
        <f>IFERROR(IF(Transactions!B18="Expense",Transactions!E18+ROW()/10000000,""),"")</f>
        <v/>
      </c>
      <c r="AA16" s="31" t="str">
        <f>IFERROR(IF(Transactions!B18="Expense",Transactions!A18,""),"")</f>
        <v/>
      </c>
      <c r="AB16" s="11" t="str">
        <f>IFERROR(IF(Transactions!B18="Expense",Transactions!C18,""),"")</f>
        <v/>
      </c>
      <c r="AC16" s="11" t="str">
        <f>IFERROR(IF(Transactions!B18="Expense",Transactions!D18,""),"")</f>
        <v/>
      </c>
      <c r="AD16" s="12" t="str">
        <f>IFERROR(IF(Transactions!B18="Expense",Transactions!E18,""),"")</f>
        <v/>
      </c>
    </row>
    <row r="17">
      <c r="B17" s="36" t="s">
        <v>21</v>
      </c>
      <c r="C17" s="37">
        <f>SUMIFS(Transactions!E:E,Transactions!B:B,"Expense",Transactions!C:C,"Transport")</f>
        <v>110.18</v>
      </c>
      <c r="D17" s="38">
        <f>IFERROR(C17/SUMIFS(Transactions!E:E,Transactions!B:B,"Expense"),0)</f>
        <v>0.02522829223</v>
      </c>
      <c r="E17" s="42">
        <f>COUNTIFS(Transactions!B:B,"Expense",Transactions!C:C,"Transport")</f>
        <v>10</v>
      </c>
      <c r="F17" s="37">
        <f t="shared" si="4"/>
        <v>11.018</v>
      </c>
      <c r="Z17" s="11">
        <f>IFERROR(IF(Transactions!B19="Expense",Transactions!E19+ROW()/10000000,""),"")</f>
        <v>13.0000017</v>
      </c>
      <c r="AA17" s="31">
        <f>IFERROR(IF(Transactions!B19="Expense",Transactions!A19,""),"")</f>
        <v>46131</v>
      </c>
      <c r="AB17" s="11" t="str">
        <f>IFERROR(IF(Transactions!B19="Expense",Transactions!C19,""),"")</f>
        <v>Food</v>
      </c>
      <c r="AC17" s="11" t="str">
        <f>IFERROR(IF(Transactions!B19="Expense",Transactions!D19,""),"")</f>
        <v>Subway</v>
      </c>
      <c r="AD17" s="12">
        <f>IFERROR(IF(Transactions!B19="Expense",Transactions!E19,""),"")</f>
        <v>13</v>
      </c>
    </row>
    <row r="18">
      <c r="B18" s="36" t="s">
        <v>69</v>
      </c>
      <c r="C18" s="37">
        <f>SUMIFS(Transactions!E:E,Transactions!B:B,"Expense",Transactions!C:C,"Bills")</f>
        <v>240</v>
      </c>
      <c r="D18" s="38">
        <f>IFERROR(C18/SUMIFS(Transactions!E:E,Transactions!B:B,"Expense"),0)</f>
        <v>0.05495362258</v>
      </c>
      <c r="E18" s="42">
        <f>COUNTIFS(Transactions!B:B,"Expense",Transactions!C:C,"Bills")</f>
        <v>1</v>
      </c>
      <c r="F18" s="37">
        <f t="shared" si="4"/>
        <v>240</v>
      </c>
      <c r="Z18" s="11">
        <f>IFERROR(IF(Transactions!B20="Expense",Transactions!E20+ROW()/10000000,""),"")</f>
        <v>7.1000018</v>
      </c>
      <c r="AA18" s="31">
        <f>IFERROR(IF(Transactions!B20="Expense",Transactions!A20,""),"")</f>
        <v>46132</v>
      </c>
      <c r="AB18" s="11" t="str">
        <f>IFERROR(IF(Transactions!B20="Expense",Transactions!C20,""),"")</f>
        <v>Food</v>
      </c>
      <c r="AC18" s="11" t="str">
        <f>IFERROR(IF(Transactions!B20="Expense",Transactions!D20,""),"")</f>
        <v>Chicken Rice</v>
      </c>
      <c r="AD18" s="12">
        <f>IFERROR(IF(Transactions!B20="Expense",Transactions!E20,""),"")</f>
        <v>7.1</v>
      </c>
    </row>
    <row r="19" ht="15.75" customHeight="1">
      <c r="B19" s="36" t="s">
        <v>15</v>
      </c>
      <c r="C19" s="37">
        <f>SUMIFS(Transactions!E:E,Transactions!B:B,"Expense",Transactions!C:C,"Shopping")</f>
        <v>486.98</v>
      </c>
      <c r="D19" s="38">
        <f>IFERROR(C19/SUMIFS(Transactions!E:E,Transactions!B:B,"Expense"),0)</f>
        <v>0.1115054797</v>
      </c>
      <c r="E19" s="42">
        <f>COUNTIFS(Transactions!B:B,"Expense",Transactions!C:C,"Shopping")</f>
        <v>20</v>
      </c>
      <c r="F19" s="37">
        <f t="shared" si="4"/>
        <v>24.349</v>
      </c>
      <c r="Z19" s="11">
        <f>IFERROR(IF(Transactions!B21="Expense",Transactions!E21+ROW()/10000000,""),"")</f>
        <v>0.2000019</v>
      </c>
      <c r="AA19" s="31">
        <f>IFERROR(IF(Transactions!B21="Expense",Transactions!A21,""),"")</f>
        <v>46132</v>
      </c>
      <c r="AB19" s="11" t="str">
        <f>IFERROR(IF(Transactions!B21="Expense",Transactions!C21,""),"")</f>
        <v>Transport</v>
      </c>
      <c r="AC19" s="11" t="str">
        <f>IFERROR(IF(Transactions!B21="Expense",Transactions!D21,""),"")</f>
        <v>Bus</v>
      </c>
      <c r="AD19" s="12">
        <f>IFERROR(IF(Transactions!B21="Expense",Transactions!E21,""),"")</f>
        <v>0.2</v>
      </c>
    </row>
    <row r="20" ht="15.75" customHeight="1">
      <c r="B20" s="36" t="s">
        <v>11</v>
      </c>
      <c r="C20" s="37">
        <f>SUMIFS(Transactions!E:E,Transactions!B:B,"Expense",Transactions!C:C,"Subscription")</f>
        <v>437.369</v>
      </c>
      <c r="D20" s="38">
        <f>IFERROR(C20/SUMIFS(Transactions!E:E,Transactions!B:B,"Expense"),0)</f>
        <v>0.100145879</v>
      </c>
      <c r="E20" s="42">
        <f>COUNTIFS(Transactions!B:B,"Expense",Transactions!C:C,"Subscription")</f>
        <v>18</v>
      </c>
      <c r="F20" s="37">
        <f t="shared" si="4"/>
        <v>24.29827778</v>
      </c>
      <c r="Z20" s="11">
        <f>IFERROR(IF(Transactions!B22="Expense",Transactions!E22+ROW()/10000000,""),"")</f>
        <v>14.440002</v>
      </c>
      <c r="AA20" s="31">
        <f>IFERROR(IF(Transactions!B22="Expense",Transactions!A22,""),"")</f>
        <v>46132</v>
      </c>
      <c r="AB20" s="11" t="str">
        <f>IFERROR(IF(Transactions!B22="Expense",Transactions!C22,""),"")</f>
        <v>Grocery</v>
      </c>
      <c r="AC20" s="11" t="str">
        <f>IFERROR(IF(Transactions!B22="Expense",Transactions!D22,""),"")</f>
        <v>Fairprice</v>
      </c>
      <c r="AD20" s="12">
        <f>IFERROR(IF(Transactions!B22="Expense",Transactions!E22,""),"")</f>
        <v>14.44</v>
      </c>
    </row>
    <row r="21" ht="15.75" customHeight="1">
      <c r="B21" s="36" t="s">
        <v>27</v>
      </c>
      <c r="C21" s="37">
        <f>SUMIFS(Transactions!E:E,Transactions!B:B,"Expense",Transactions!C:C,"Entertainment")</f>
        <v>180</v>
      </c>
      <c r="D21" s="38">
        <f>IFERROR(C21/SUMIFS(Transactions!E:E,Transactions!B:B,"Expense"),0)</f>
        <v>0.04121521693</v>
      </c>
      <c r="E21" s="42">
        <f>COUNTIFS(Transactions!B:B,"Expense",Transactions!C:C,"Entertainment")</f>
        <v>4</v>
      </c>
      <c r="F21" s="37">
        <f t="shared" si="4"/>
        <v>45</v>
      </c>
      <c r="Z21" s="11">
        <f>IFERROR(IF(Transactions!B23="Expense",Transactions!E23+ROW()/10000000,""),"")</f>
        <v>18.2700021</v>
      </c>
      <c r="AA21" s="31">
        <f>IFERROR(IF(Transactions!B23="Expense",Transactions!A23,""),"")</f>
        <v>46132</v>
      </c>
      <c r="AB21" s="11" t="str">
        <f>IFERROR(IF(Transactions!B23="Expense",Transactions!C23,""),"")</f>
        <v>Grocery</v>
      </c>
      <c r="AC21" s="11" t="str">
        <f>IFERROR(IF(Transactions!B23="Expense",Transactions!D23,""),"")</f>
        <v>Fairprice</v>
      </c>
      <c r="AD21" s="11">
        <f>IFERROR(IF(Transactions!B23="Expense",Transactions!E23,""),"")</f>
        <v>18.27</v>
      </c>
    </row>
    <row r="22" ht="15.75" customHeight="1">
      <c r="B22" s="36" t="s">
        <v>134</v>
      </c>
      <c r="C22" s="37">
        <f>SUMIFS(Transactions!E:E,Transactions!B:B,"Expense",Transactions!C:C,"Health")</f>
        <v>0</v>
      </c>
      <c r="D22" s="38">
        <f>IFERROR(C22/SUMIFS(Transactions!E:E,Transactions!B:B,"Expense"),0)</f>
        <v>0</v>
      </c>
      <c r="E22" s="42">
        <f>COUNTIFS(Transactions!B:B,"Expense",Transactions!C:C,"Health")</f>
        <v>0</v>
      </c>
      <c r="F22" s="37">
        <f t="shared" si="4"/>
        <v>0</v>
      </c>
      <c r="Z22" s="11">
        <f>IFERROR(IF(Transactions!B24="Expense",Transactions!E24+ROW()/10000000,""),"")</f>
        <v>5.4000022</v>
      </c>
      <c r="AA22" s="31">
        <f>IFERROR(IF(Transactions!B24="Expense",Transactions!A24,""),"")</f>
        <v>46134</v>
      </c>
      <c r="AB22" s="11" t="str">
        <f>IFERROR(IF(Transactions!B24="Expense",Transactions!C24,""),"")</f>
        <v>Food</v>
      </c>
      <c r="AC22" s="11" t="str">
        <f>IFERROR(IF(Transactions!B24="Expense",Transactions!D24,""),"")</f>
        <v>Chicken Rice</v>
      </c>
      <c r="AD22" s="12">
        <f>IFERROR(IF(Transactions!B24="Expense",Transactions!E24,""),"")</f>
        <v>5.4</v>
      </c>
    </row>
    <row r="23" ht="15.75" customHeight="1">
      <c r="B23" s="36" t="s">
        <v>112</v>
      </c>
      <c r="C23" s="37">
        <f>SUMIFS(Transactions!E:E,Transactions!B:B,"Expense",Transactions!C:C,"Family")</f>
        <v>1000</v>
      </c>
      <c r="D23" s="38">
        <f>IFERROR(C23/SUMIFS(Transactions!E:E,Transactions!B:B,"Expense"),0)</f>
        <v>0.2289734274</v>
      </c>
      <c r="E23" s="42">
        <f>COUNTIFS(Transactions!B:B,"Expense",Transactions!C:C,"Family")</f>
        <v>1</v>
      </c>
      <c r="F23" s="37">
        <f t="shared" si="4"/>
        <v>1000</v>
      </c>
      <c r="Z23" s="11">
        <f>IFERROR(IF(Transactions!B25="Expense",Transactions!E25+ROW()/10000000,""),"")</f>
        <v>5.1000023</v>
      </c>
      <c r="AA23" s="31">
        <f>IFERROR(IF(Transactions!B25="Expense",Transactions!A25,""),"")</f>
        <v>46134</v>
      </c>
      <c r="AB23" s="11" t="str">
        <f>IFERROR(IF(Transactions!B25="Expense",Transactions!C25,""),"")</f>
        <v>Food</v>
      </c>
      <c r="AC23" s="11" t="str">
        <f>IFERROR(IF(Transactions!B25="Expense",Transactions!D25,""),"")</f>
        <v>Siew Mai</v>
      </c>
      <c r="AD23" s="12">
        <f>IFERROR(IF(Transactions!B25="Expense",Transactions!E25,""),"")</f>
        <v>5.1</v>
      </c>
    </row>
    <row r="24" ht="15.75" customHeight="1">
      <c r="B24" s="36" t="s">
        <v>86</v>
      </c>
      <c r="C24" s="37">
        <f>SUMIFS(Transactions!E:E,Transactions!B:B,"Expense",Transactions!C:C,"Travel")</f>
        <v>563.95</v>
      </c>
      <c r="D24" s="38">
        <f>IFERROR(C24/SUMIFS(Transactions!E:E,Transactions!B:B,"Expense"),0)</f>
        <v>0.1291295644</v>
      </c>
      <c r="E24" s="42">
        <f>COUNTIFS(Transactions!B:B,"Expense",Transactions!C:C,"Travel")</f>
        <v>5</v>
      </c>
      <c r="F24" s="37">
        <f t="shared" si="4"/>
        <v>112.79</v>
      </c>
      <c r="Z24" s="11">
        <f>IFERROR(IF(Transactions!B26="Expense",Transactions!E26+ROW()/10000000,""),"")</f>
        <v>3.1000024</v>
      </c>
      <c r="AA24" s="31">
        <f>IFERROR(IF(Transactions!B26="Expense",Transactions!A26,""),"")</f>
        <v>46134</v>
      </c>
      <c r="AB24" s="11" t="str">
        <f>IFERROR(IF(Transactions!B26="Expense",Transactions!C26,""),"")</f>
        <v>Grocery</v>
      </c>
      <c r="AC24" s="11" t="str">
        <f>IFERROR(IF(Transactions!B26="Expense",Transactions!D26,""),"")</f>
        <v>Fairprice</v>
      </c>
      <c r="AD24" s="12">
        <f>IFERROR(IF(Transactions!B26="Expense",Transactions!E26,""),"")</f>
        <v>3.1</v>
      </c>
    </row>
    <row r="25" ht="15.75" customHeight="1">
      <c r="B25" s="36" t="s">
        <v>109</v>
      </c>
      <c r="C25" s="37">
        <f>SUMIFS(Transactions!E:E,Transactions!B:B,"Expense",Transactions!C:C,"Education")</f>
        <v>8.88</v>
      </c>
      <c r="D25" s="38">
        <f>IFERROR(C25/SUMIFS(Transactions!E:E,Transactions!B:B,"Expense"),0)</f>
        <v>0.002033284035</v>
      </c>
      <c r="E25" s="42">
        <f>COUNTIFS(Transactions!B:B,"Expense",Transactions!C:C,"Education")</f>
        <v>1</v>
      </c>
      <c r="F25" s="37">
        <f t="shared" si="4"/>
        <v>8.88</v>
      </c>
      <c r="Z25" s="11">
        <f>IFERROR(IF(Transactions!B27="Expense",Transactions!E27+ROW()/10000000,""),"")</f>
        <v>0.2000025</v>
      </c>
      <c r="AA25" s="31">
        <f>IFERROR(IF(Transactions!B27="Expense",Transactions!A27,""),"")</f>
        <v>46135</v>
      </c>
      <c r="AB25" s="11" t="str">
        <f>IFERROR(IF(Transactions!B27="Expense",Transactions!C27,""),"")</f>
        <v>Transport</v>
      </c>
      <c r="AC25" s="11" t="str">
        <f>IFERROR(IF(Transactions!B27="Expense",Transactions!D27,""),"")</f>
        <v>Bus</v>
      </c>
      <c r="AD25" s="11">
        <f>IFERROR(IF(Transactions!B27="Expense",Transactions!E27,""),"")</f>
        <v>0.2</v>
      </c>
    </row>
    <row r="26" ht="15.75" customHeight="1">
      <c r="B26" s="36" t="s">
        <v>38</v>
      </c>
      <c r="C26" s="37">
        <f>SUMIFS(Transactions!E:E,Transactions!B:B,"Expense",Transactions!C:C,"Misc")</f>
        <v>199</v>
      </c>
      <c r="D26" s="38">
        <f>IFERROR(C26/SUMIFS(Transactions!E:E,Transactions!B:B,"Expense"),0)</f>
        <v>0.04556571205</v>
      </c>
      <c r="E26" s="42">
        <f>COUNTIFS(Transactions!B:B,"Expense",Transactions!C:C,"Misc")</f>
        <v>4</v>
      </c>
      <c r="F26" s="37">
        <f t="shared" si="4"/>
        <v>49.75</v>
      </c>
      <c r="Z26" s="11">
        <f>IFERROR(IF(Transactions!B28="Expense",Transactions!E28+ROW()/10000000,""),"")</f>
        <v>15.1000026</v>
      </c>
      <c r="AA26" s="31">
        <f>IFERROR(IF(Transactions!B28="Expense",Transactions!A28,""),"")</f>
        <v>46136</v>
      </c>
      <c r="AB26" s="11" t="str">
        <f>IFERROR(IF(Transactions!B28="Expense",Transactions!C28,""),"")</f>
        <v>Food</v>
      </c>
      <c r="AC26" s="11" t="str">
        <f>IFERROR(IF(Transactions!B28="Expense",Transactions!D28,""),"")</f>
        <v>Stuffd</v>
      </c>
      <c r="AD26" s="11">
        <f>IFERROR(IF(Transactions!B28="Expense",Transactions!E28,""),"")</f>
        <v>15.1</v>
      </c>
    </row>
    <row r="27" ht="15.75" customHeight="1">
      <c r="B27" s="9" t="s">
        <v>25</v>
      </c>
      <c r="C27" s="37">
        <f>SUMIFS(Transactions!E:E,Transactions!B:B,"Expense",Transactions!C:C,"Grocery")</f>
        <v>238.82</v>
      </c>
      <c r="D27" s="38">
        <f>IFERROR(C27/SUMIFS(Transactions!E:E,Transactions!B:B,"Expense"),0)</f>
        <v>0.05468343393</v>
      </c>
      <c r="E27" s="42">
        <f>COUNTIFS(Transactions!B:B,"Expense",Transactions!C:C,"Grocery")</f>
        <v>14</v>
      </c>
      <c r="F27" s="37">
        <f t="shared" si="4"/>
        <v>17.05857143</v>
      </c>
      <c r="Z27" s="11">
        <f>IFERROR(IF(Transactions!B29="Expense",Transactions!E29+ROW()/10000000,""),"")</f>
        <v>125.0000027</v>
      </c>
      <c r="AA27" s="31">
        <f>IFERROR(IF(Transactions!B29="Expense",Transactions!A29,""),"")</f>
        <v>46137</v>
      </c>
      <c r="AB27" s="11" t="str">
        <f>IFERROR(IF(Transactions!B29="Expense",Transactions!C29,""),"")</f>
        <v>Misc</v>
      </c>
      <c r="AC27" s="11" t="str">
        <f>IFERROR(IF(Transactions!B29="Expense",Transactions!D29,""),"")</f>
        <v>Donation</v>
      </c>
      <c r="AD27" s="12">
        <f>IFERROR(IF(Transactions!B29="Expense",Transactions!E29,""),"")</f>
        <v>125</v>
      </c>
    </row>
    <row r="28" ht="24.0" customHeight="1">
      <c r="B28" s="32" t="s">
        <v>151</v>
      </c>
      <c r="C28" s="33"/>
      <c r="D28" s="33"/>
      <c r="E28" s="33"/>
      <c r="F28" s="33"/>
      <c r="G28" s="34"/>
      <c r="Z28" s="11">
        <f>IFERROR(IF(Transactions!B30="Expense",Transactions!E30+ROW()/10000000,""),"")</f>
        <v>17.9800028</v>
      </c>
      <c r="AA28" s="31">
        <f>IFERROR(IF(Transactions!B30="Expense",Transactions!A30,""),"")</f>
        <v>46138</v>
      </c>
      <c r="AB28" s="11" t="str">
        <f>IFERROR(IF(Transactions!B30="Expense",Transactions!C30,""),"")</f>
        <v>Subscription</v>
      </c>
      <c r="AC28" s="11" t="str">
        <f>IFERROR(IF(Transactions!B30="Expense",Transactions!D30,""),"")</f>
        <v>Youtube</v>
      </c>
      <c r="AD28" s="12">
        <f>IFERROR(IF(Transactions!B30="Expense",Transactions!E30,""),"")</f>
        <v>17.98</v>
      </c>
    </row>
    <row r="29" ht="15.75" customHeight="1">
      <c r="B29" s="35" t="s">
        <v>139</v>
      </c>
      <c r="C29" s="35" t="s">
        <v>0</v>
      </c>
      <c r="D29" s="35" t="s">
        <v>2</v>
      </c>
      <c r="E29" s="35" t="s">
        <v>3</v>
      </c>
      <c r="F29" s="35" t="s">
        <v>4</v>
      </c>
      <c r="Z29" s="11">
        <f>IFERROR(IF(Transactions!B31="Expense",Transactions!E31+ROW()/10000000,""),"")</f>
        <v>82.6200029</v>
      </c>
      <c r="AA29" s="31">
        <f>IFERROR(IF(Transactions!B31="Expense",Transactions!A31,""),"")</f>
        <v>46138</v>
      </c>
      <c r="AB29" s="11" t="str">
        <f>IFERROR(IF(Transactions!B31="Expense",Transactions!C31,""),"")</f>
        <v>Subscription</v>
      </c>
      <c r="AC29" s="11" t="str">
        <f>IFERROR(IF(Transactions!B31="Expense",Transactions!D31,""),"")</f>
        <v>AVG Antivirus</v>
      </c>
      <c r="AD29" s="12">
        <f>IFERROR(IF(Transactions!B31="Expense",Transactions!E31,""),"")</f>
        <v>82.62</v>
      </c>
    </row>
    <row r="30" ht="15.75" customHeight="1">
      <c r="B30" s="43">
        <v>1.0</v>
      </c>
      <c r="C30" s="44">
        <f t="array" ref="C30">IFERROR(INDEX($AA$2:$AA$499,MATCH(LARGE($Z$2:$Z$499,1),$Z$2:$Z$499,0)),"")</f>
        <v>46170</v>
      </c>
      <c r="D30" s="36" t="str">
        <f t="array" ref="D30">IFERROR(INDEX($AB$2:$AB$499,MATCH(LARGE($Z$2:$Z$499,1),$Z$2:$Z$499,0)),"")</f>
        <v>Family</v>
      </c>
      <c r="E30" s="36" t="str">
        <f t="array" ref="E30">IFERROR(INDEX($AC$2:$AC$499,MATCH(LARGE($Z$2:$Z$499,1),$Z$2:$Z$499,0)),"")</f>
        <v>Transfer to Parents</v>
      </c>
      <c r="F30" s="37">
        <f t="array" ref="F30">IFERROR(INDEX($AD$2:$AD$499,MATCH(LARGE($Z$2:$Z$499,1),$Z$2:$Z$499,0)),0)</f>
        <v>1000</v>
      </c>
      <c r="Z30" s="11">
        <f>IFERROR(IF(Transactions!B32="Expense",Transactions!E32+ROW()/10000000,""),"")</f>
        <v>18.250003</v>
      </c>
      <c r="AA30" s="31">
        <f>IFERROR(IF(Transactions!B32="Expense",Transactions!A32,""),"")</f>
        <v>46138</v>
      </c>
      <c r="AB30" s="11" t="str">
        <f>IFERROR(IF(Transactions!B32="Expense",Transactions!C32,""),"")</f>
        <v>Food</v>
      </c>
      <c r="AC30" s="11" t="str">
        <f>IFERROR(IF(Transactions!B32="Expense",Transactions!D32,""),"")</f>
        <v>Mcd</v>
      </c>
      <c r="AD30" s="11">
        <f>IFERROR(IF(Transactions!B32="Expense",Transactions!E32,""),"")</f>
        <v>18.25</v>
      </c>
    </row>
    <row r="31" ht="15.75" customHeight="1">
      <c r="B31" s="43">
        <v>2.0</v>
      </c>
      <c r="C31" s="44">
        <f t="array" ref="C31">IFERROR(INDEX($AA$2:$AA$499,MATCH(LARGE($Z$2:$Z$499,2),$Z$2:$Z$499,0)),"")</f>
        <v>46155</v>
      </c>
      <c r="D31" s="36" t="str">
        <f t="array" ref="D31">IFERROR(INDEX($AB$2:$AB$499,MATCH(LARGE($Z$2:$Z$499,2),$Z$2:$Z$499,0)),"")</f>
        <v>Travel</v>
      </c>
      <c r="E31" s="36" t="str">
        <f t="array" ref="E31">IFERROR(INDEX($AC$2:$AC$499,MATCH(LARGE($Z$2:$Z$499,2),$Z$2:$Z$499,0)),"")</f>
        <v>SGD to MYR</v>
      </c>
      <c r="F31" s="37">
        <f t="array" ref="F31">IFERROR(INDEX($AD$2:$AD$499,MATCH(LARGE($Z$2:$Z$499,2),$Z$2:$Z$499,0)),0)</f>
        <v>300</v>
      </c>
      <c r="Z31" s="11" t="str">
        <f>IFERROR(IF(Transactions!B33="Expense",Transactions!E33+ROW()/10000000,""),"")</f>
        <v/>
      </c>
      <c r="AA31" s="31" t="str">
        <f>IFERROR(IF(Transactions!B33="Expense",Transactions!A33,""),"")</f>
        <v/>
      </c>
      <c r="AB31" s="11" t="str">
        <f>IFERROR(IF(Transactions!B33="Expense",Transactions!C33,""),"")</f>
        <v/>
      </c>
      <c r="AC31" s="11" t="str">
        <f>IFERROR(IF(Transactions!B33="Expense",Transactions!D33,""),"")</f>
        <v/>
      </c>
      <c r="AD31" s="11" t="str">
        <f>IFERROR(IF(Transactions!B33="Expense",Transactions!E33,""),"")</f>
        <v/>
      </c>
    </row>
    <row r="32" ht="15.75" customHeight="1">
      <c r="B32" s="43">
        <v>3.0</v>
      </c>
      <c r="C32" s="44">
        <f t="array" ref="C32">IFERROR(INDEX($AA$2:$AA$499,MATCH(LARGE($Z$2:$Z$499,3),$Z$2:$Z$499,0)),"")</f>
        <v>46148</v>
      </c>
      <c r="D32" s="36" t="str">
        <f t="array" ref="D32">IFERROR(INDEX($AB$2:$AB$499,MATCH(LARGE($Z$2:$Z$499,3),$Z$2:$Z$499,0)),"")</f>
        <v>Bills</v>
      </c>
      <c r="E32" s="36" t="str">
        <f t="array" ref="E32">IFERROR(INDEX($AC$2:$AC$499,MATCH(LARGE($Z$2:$Z$499,3),$Z$2:$Z$499,0)),"")</f>
        <v>Tax</v>
      </c>
      <c r="F32" s="37">
        <f t="array" ref="F32">IFERROR(INDEX($AD$2:$AD$499,MATCH(LARGE($Z$2:$Z$499,3),$Z$2:$Z$499,0)),0)</f>
        <v>240</v>
      </c>
      <c r="Z32" s="11">
        <f>IFERROR(IF(Transactions!B34="Expense",Transactions!E34+ROW()/10000000,""),"")</f>
        <v>15.5100032</v>
      </c>
      <c r="AA32" s="31">
        <f>IFERROR(IF(Transactions!B34="Expense",Transactions!A34,""),"")</f>
        <v>46134</v>
      </c>
      <c r="AB32" s="11" t="str">
        <f>IFERROR(IF(Transactions!B34="Expense",Transactions!C34,""),"")</f>
        <v>Shopping</v>
      </c>
      <c r="AC32" s="11" t="str">
        <f>IFERROR(IF(Transactions!B34="Expense",Transactions!D34,""),"")</f>
        <v>Shoppee</v>
      </c>
      <c r="AD32" s="11">
        <f>IFERROR(IF(Transactions!B34="Expense",Transactions!E34,""),"")</f>
        <v>15.51</v>
      </c>
    </row>
    <row r="33" ht="15.75" customHeight="1">
      <c r="B33" s="43">
        <v>4.0</v>
      </c>
      <c r="C33" s="44">
        <f t="array" ref="C33">IFERROR(INDEX($AA$2:$AA$499,MATCH(LARGE($Z$2:$Z$499,4),$Z$2:$Z$499,0)),"")</f>
        <v>46158</v>
      </c>
      <c r="D33" s="36" t="str">
        <f t="array" ref="D33">IFERROR(INDEX($AB$2:$AB$499,MATCH(LARGE($Z$2:$Z$499,4),$Z$2:$Z$499,0)),"")</f>
        <v>Travel</v>
      </c>
      <c r="E33" s="36" t="str">
        <f t="array" ref="E33">IFERROR(INDEX($AC$2:$AC$499,MATCH(LARGE($Z$2:$Z$499,4),$Z$2:$Z$499,0)),"")</f>
        <v>KL Grand Hyatt Deposit</v>
      </c>
      <c r="F33" s="37">
        <f t="array" ref="F33">IFERROR(INDEX($AD$2:$AD$499,MATCH(LARGE($Z$2:$Z$499,4),$Z$2:$Z$499,0)),0)</f>
        <v>199.45</v>
      </c>
      <c r="Z33" s="11">
        <f>IFERROR(IF(Transactions!B35="Expense",Transactions!E35+ROW()/10000000,""),"")</f>
        <v>21.1600033</v>
      </c>
      <c r="AA33" s="31">
        <f>IFERROR(IF(Transactions!B35="Expense",Transactions!A35,""),"")</f>
        <v>46135</v>
      </c>
      <c r="AB33" s="11" t="str">
        <f>IFERROR(IF(Transactions!B35="Expense",Transactions!C35,""),"")</f>
        <v>Shopping</v>
      </c>
      <c r="AC33" s="11" t="str">
        <f>IFERROR(IF(Transactions!B35="Expense",Transactions!D35,""),"")</f>
        <v>Shoppee</v>
      </c>
      <c r="AD33" s="11">
        <f>IFERROR(IF(Transactions!B35="Expense",Transactions!E35,""),"")</f>
        <v>21.16</v>
      </c>
    </row>
    <row r="34" ht="15.75" customHeight="1">
      <c r="B34" s="43">
        <v>5.0</v>
      </c>
      <c r="C34" s="44">
        <f t="array" ref="C34">IFERROR(INDEX($AA$2:$AA$499,MATCH(LARGE($Z$2:$Z$499,5),$Z$2:$Z$499,0)),"")</f>
        <v>46137</v>
      </c>
      <c r="D34" s="36" t="str">
        <f t="array" ref="D34">IFERROR(INDEX($AB$2:$AB$499,MATCH(LARGE($Z$2:$Z$499,5),$Z$2:$Z$499,0)),"")</f>
        <v>Misc</v>
      </c>
      <c r="E34" s="36" t="str">
        <f t="array" ref="E34">IFERROR(INDEX($AC$2:$AC$499,MATCH(LARGE($Z$2:$Z$499,5),$Z$2:$Z$499,0)),"")</f>
        <v>Donation</v>
      </c>
      <c r="F34" s="37">
        <f t="array" ref="F34">IFERROR(INDEX($AD$2:$AD$499,MATCH(LARGE($Z$2:$Z$499,5),$Z$2:$Z$499,0)),0)</f>
        <v>125</v>
      </c>
      <c r="Z34" s="11">
        <f>IFERROR(IF(Transactions!B36="Expense",Transactions!E36+ROW()/10000000,""),"")</f>
        <v>7.0000034</v>
      </c>
      <c r="AA34" s="31">
        <f>IFERROR(IF(Transactions!B36="Expense",Transactions!A36,""),"")</f>
        <v>46138</v>
      </c>
      <c r="AB34" s="11" t="str">
        <f>IFERROR(IF(Transactions!B36="Expense",Transactions!C36,""),"")</f>
        <v>Subscription</v>
      </c>
      <c r="AC34" s="11" t="str">
        <f>IFERROR(IF(Transactions!B36="Expense",Transactions!D36,""),"")</f>
        <v>Gomo</v>
      </c>
      <c r="AD34" s="11">
        <f>IFERROR(IF(Transactions!B36="Expense",Transactions!E36,""),"")</f>
        <v>7</v>
      </c>
    </row>
    <row r="35" ht="15.75" customHeight="1">
      <c r="B35" s="43">
        <v>6.0</v>
      </c>
      <c r="C35" s="44">
        <f t="array" ref="C35">IFERROR(INDEX($AA$2:$AA$499,MATCH(LARGE($Z$2:$Z$499,6),$Z$2:$Z$499,0)),"")</f>
        <v>46159</v>
      </c>
      <c r="D35" s="36" t="str">
        <f t="array" ref="D35">IFERROR(INDEX($AB$2:$AB$499,MATCH(LARGE($Z$2:$Z$499,6),$Z$2:$Z$499,0)),"")</f>
        <v>Shopping</v>
      </c>
      <c r="E35" s="36" t="str">
        <f t="array" ref="E35">IFERROR(INDEX($AC$2:$AC$499,MATCH(LARGE($Z$2:$Z$499,6),$Z$2:$Z$499,0)),"")</f>
        <v>KL Shopping</v>
      </c>
      <c r="F35" s="37">
        <f t="array" ref="F35">IFERROR(INDEX($AD$2:$AD$499,MATCH(LARGE($Z$2:$Z$499,6),$Z$2:$Z$499,0)),0)</f>
        <v>116.41</v>
      </c>
      <c r="Z35" s="11">
        <f>IFERROR(IF(Transactions!B37="Expense",Transactions!E37+ROW()/10000000,""),"")</f>
        <v>18.0000035</v>
      </c>
      <c r="AA35" s="31">
        <f>IFERROR(IF(Transactions!B37="Expense",Transactions!A37,""),"")</f>
        <v>46135</v>
      </c>
      <c r="AB35" s="11" t="str">
        <f>IFERROR(IF(Transactions!B37="Expense",Transactions!C37,""),"")</f>
        <v>Food</v>
      </c>
      <c r="AC35" s="11" t="str">
        <f>IFERROR(IF(Transactions!B37="Expense",Transactions!D37,""),"")</f>
        <v>Lunch with Team</v>
      </c>
      <c r="AD35" s="11">
        <f>IFERROR(IF(Transactions!B37="Expense",Transactions!E37,""),"")</f>
        <v>18</v>
      </c>
    </row>
    <row r="36" ht="15.75" customHeight="1">
      <c r="B36" s="43">
        <v>7.0</v>
      </c>
      <c r="C36" s="44">
        <f t="array" ref="C36">IFERROR(INDEX($AA$2:$AA$499,MATCH(LARGE($Z$2:$Z$499,7),$Z$2:$Z$499,0)),"")</f>
        <v>46151</v>
      </c>
      <c r="D36" s="36" t="str">
        <f t="array" ref="D36">IFERROR(INDEX($AB$2:$AB$499,MATCH(LARGE($Z$2:$Z$499,7),$Z$2:$Z$499,0)),"")</f>
        <v>Food</v>
      </c>
      <c r="E36" s="36" t="str">
        <f t="array" ref="E36">IFERROR(INDEX($AC$2:$AC$499,MATCH(LARGE($Z$2:$Z$499,7),$Z$2:$Z$499,0)),"")</f>
        <v>Bali Thai Mother's day</v>
      </c>
      <c r="F36" s="37">
        <f t="array" ref="F36">IFERROR(INDEX($AD$2:$AD$499,MATCH(LARGE($Z$2:$Z$499,7),$Z$2:$Z$499,0)),0)</f>
        <v>109.47</v>
      </c>
      <c r="Z36" s="11" t="str">
        <f>IFERROR(IF(Transactions!B38="Expense",Transactions!E38+ROW()/10000000,""),"")</f>
        <v/>
      </c>
      <c r="AA36" s="31" t="str">
        <f>IFERROR(IF(Transactions!B38="Expense",Transactions!A38,""),"")</f>
        <v/>
      </c>
      <c r="AB36" s="11" t="str">
        <f>IFERROR(IF(Transactions!B38="Expense",Transactions!C38,""),"")</f>
        <v/>
      </c>
      <c r="AC36" s="11" t="str">
        <f>IFERROR(IF(Transactions!B38="Expense",Transactions!D38,""),"")</f>
        <v/>
      </c>
      <c r="AD36" s="11" t="str">
        <f>IFERROR(IF(Transactions!B38="Expense",Transactions!E38,""),"")</f>
        <v/>
      </c>
    </row>
    <row r="37" ht="15.75" customHeight="1">
      <c r="B37" s="43">
        <v>8.0</v>
      </c>
      <c r="C37" s="44">
        <f t="array" ref="C37">IFERROR(INDEX($AA$2:$AA$499,MATCH(LARGE($Z$2:$Z$499,8),$Z$2:$Z$499,0)),"")</f>
        <v>46143</v>
      </c>
      <c r="D37" s="36" t="str">
        <f t="array" ref="D37">IFERROR(INDEX($AB$2:$AB$499,MATCH(LARGE($Z$2:$Z$499,8),$Z$2:$Z$499,0)),"")</f>
        <v>Subscription</v>
      </c>
      <c r="E37" s="36" t="str">
        <f t="array" ref="E37">IFERROR(INDEX($AC$2:$AC$499,MATCH(LARGE($Z$2:$Z$499,8),$Z$2:$Z$499,0)),"")</f>
        <v>Anytime Fitness</v>
      </c>
      <c r="F37" s="37">
        <f t="array" ref="F37">IFERROR(INDEX($AD$2:$AD$499,MATCH(LARGE($Z$2:$Z$499,8),$Z$2:$Z$499,0)),0)</f>
        <v>89</v>
      </c>
      <c r="Z37" s="11" t="str">
        <f>IFERROR(IF(Transactions!B39="Expense",Transactions!E39+ROW()/10000000,""),"")</f>
        <v/>
      </c>
      <c r="AA37" s="31" t="str">
        <f>IFERROR(IF(Transactions!B39="Expense",Transactions!A39,""),"")</f>
        <v/>
      </c>
      <c r="AB37" s="11" t="str">
        <f>IFERROR(IF(Transactions!B39="Expense",Transactions!C39,""),"")</f>
        <v/>
      </c>
      <c r="AC37" s="11" t="str">
        <f>IFERROR(IF(Transactions!B39="Expense",Transactions!D39,""),"")</f>
        <v/>
      </c>
      <c r="AD37" s="11" t="str">
        <f>IFERROR(IF(Transactions!B39="Expense",Transactions!E39,""),"")</f>
        <v/>
      </c>
    </row>
    <row r="38" ht="15.75" customHeight="1">
      <c r="B38" s="43">
        <v>9.0</v>
      </c>
      <c r="C38" s="44">
        <f t="array" ref="C38">IFERROR(INDEX($AA$2:$AA$499,MATCH(LARGE($Z$2:$Z$499,9),$Z$2:$Z$499,0)),"")</f>
        <v>46138</v>
      </c>
      <c r="D38" s="36" t="str">
        <f t="array" ref="D38">IFERROR(INDEX($AB$2:$AB$499,MATCH(LARGE($Z$2:$Z$499,9),$Z$2:$Z$499,0)),"")</f>
        <v>Subscription</v>
      </c>
      <c r="E38" s="36" t="str">
        <f t="array" ref="E38">IFERROR(INDEX($AC$2:$AC$499,MATCH(LARGE($Z$2:$Z$499,9),$Z$2:$Z$499,0)),"")</f>
        <v>AVG Antivirus</v>
      </c>
      <c r="F38" s="37">
        <f t="array" ref="F38">IFERROR(INDEX($AD$2:$AD$499,MATCH(LARGE($Z$2:$Z$499,9),$Z$2:$Z$499,0)),0)</f>
        <v>82.62</v>
      </c>
      <c r="Z38" s="11">
        <f>IFERROR(IF(Transactions!B40="Expense",Transactions!E40+ROW()/10000000,""),"")</f>
        <v>1.2000038</v>
      </c>
      <c r="AA38" s="31">
        <f>IFERROR(IF(Transactions!B40="Expense",Transactions!A40,""),"")</f>
        <v>46143</v>
      </c>
      <c r="AB38" s="11" t="str">
        <f>IFERROR(IF(Transactions!B40="Expense",Transactions!C40,""),"")</f>
        <v>Transport</v>
      </c>
      <c r="AC38" s="11" t="str">
        <f>IFERROR(IF(Transactions!B40="Expense",Transactions!D40,""),"")</f>
        <v>Parking</v>
      </c>
      <c r="AD38" s="11">
        <f>IFERROR(IF(Transactions!B40="Expense",Transactions!E40,""),"")</f>
        <v>1.2</v>
      </c>
    </row>
    <row r="39" ht="15.75" customHeight="1">
      <c r="B39" s="43">
        <v>10.0</v>
      </c>
      <c r="C39" s="44">
        <f t="array" ref="C39">IFERROR(INDEX($AA$2:$AA$499,MATCH(LARGE($Z$2:$Z$499,10),$Z$2:$Z$499,0)),"")</f>
        <v>46145</v>
      </c>
      <c r="D39" s="36" t="str">
        <f t="array" ref="D39">IFERROR(INDEX($AB$2:$AB$499,MATCH(LARGE($Z$2:$Z$499,10),$Z$2:$Z$499,0)),"")</f>
        <v>Entertainment</v>
      </c>
      <c r="E39" s="36" t="str">
        <f t="array" ref="E39">IFERROR(INDEX($AC$2:$AC$499,MATCH(LARGE($Z$2:$Z$499,10),$Z$2:$Z$499,0)),"")</f>
        <v>Movie</v>
      </c>
      <c r="F39" s="37">
        <f t="array" ref="F39">IFERROR(INDEX($AD$2:$AD$499,MATCH(LARGE($Z$2:$Z$499,10),$Z$2:$Z$499,0)),0)</f>
        <v>80</v>
      </c>
      <c r="Z39" s="11">
        <f>IFERROR(IF(Transactions!B41="Expense",Transactions!E41+ROW()/10000000,""),"")</f>
        <v>5.8600039</v>
      </c>
      <c r="AA39" s="31">
        <f>IFERROR(IF(Transactions!B41="Expense",Transactions!A41,""),"")</f>
        <v>46138</v>
      </c>
      <c r="AB39" s="11" t="str">
        <f>IFERROR(IF(Transactions!B41="Expense",Transactions!C41,""),"")</f>
        <v>Grocery</v>
      </c>
      <c r="AC39" s="11" t="str">
        <f>IFERROR(IF(Transactions!B41="Expense",Transactions!D41,""),"")</f>
        <v>Fairprice</v>
      </c>
      <c r="AD39" s="11">
        <f>IFERROR(IF(Transactions!B41="Expense",Transactions!E41,""),"")</f>
        <v>5.86</v>
      </c>
    </row>
    <row r="40" ht="15.75" customHeight="1">
      <c r="Z40" s="11">
        <f>IFERROR(IF(Transactions!B42="Expense",Transactions!E42+ROW()/10000000,""),"")</f>
        <v>7.900004</v>
      </c>
      <c r="AA40" s="31">
        <f>IFERROR(IF(Transactions!B42="Expense",Transactions!A42,""),"")</f>
        <v>46139</v>
      </c>
      <c r="AB40" s="11" t="str">
        <f>IFERROR(IF(Transactions!B42="Expense",Transactions!C42,""),"")</f>
        <v>Food</v>
      </c>
      <c r="AC40" s="11" t="str">
        <f>IFERROR(IF(Transactions!B42="Expense",Transactions!D42,""),"")</f>
        <v>Wokhey</v>
      </c>
      <c r="AD40" s="11">
        <f>IFERROR(IF(Transactions!B42="Expense",Transactions!E42,""),"")</f>
        <v>7.9</v>
      </c>
    </row>
    <row r="41" ht="24.0" customHeight="1">
      <c r="B41" s="32" t="s">
        <v>152</v>
      </c>
      <c r="C41" s="33"/>
      <c r="D41" s="33"/>
      <c r="E41" s="33"/>
      <c r="F41" s="33"/>
      <c r="G41" s="34"/>
      <c r="Z41" s="11">
        <f>IFERROR(IF(Transactions!B43="Expense",Transactions!E43+ROW()/10000000,""),"")</f>
        <v>0.1700041</v>
      </c>
      <c r="AA41" s="31">
        <f>IFERROR(IF(Transactions!B43="Expense",Transactions!A43,""),"")</f>
        <v>46139</v>
      </c>
      <c r="AB41" s="11" t="str">
        <f>IFERROR(IF(Transactions!B43="Expense",Transactions!C43,""),"")</f>
        <v>Food</v>
      </c>
      <c r="AC41" s="11" t="str">
        <f>IFERROR(IF(Transactions!B43="Expense",Transactions!D43,""),"")</f>
        <v/>
      </c>
      <c r="AD41" s="11">
        <f>IFERROR(IF(Transactions!B43="Expense",Transactions!E43,""),"")</f>
        <v>0.17</v>
      </c>
    </row>
    <row r="42" ht="15.75" customHeight="1">
      <c r="B42" s="35" t="s">
        <v>153</v>
      </c>
      <c r="C42" s="35" t="s">
        <v>154</v>
      </c>
      <c r="D42" s="35"/>
      <c r="E42" s="35"/>
      <c r="F42" s="35"/>
      <c r="Z42" s="11">
        <f>IFERROR(IF(Transactions!B44="Expense",Transactions!E44+ROW()/10000000,""),"")</f>
        <v>7.8000042</v>
      </c>
      <c r="AA42" s="31">
        <f>IFERROR(IF(Transactions!B44="Expense",Transactions!A44,""),"")</f>
        <v>46140</v>
      </c>
      <c r="AB42" s="11" t="str">
        <f>IFERROR(IF(Transactions!B44="Expense",Transactions!C44,""),"")</f>
        <v>Food</v>
      </c>
      <c r="AC42" s="11" t="str">
        <f>IFERROR(IF(Transactions!B44="Expense",Transactions!D44,""),"")</f>
        <v>Citi Cafe</v>
      </c>
      <c r="AD42" s="11">
        <f>IFERROR(IF(Transactions!B44="Expense",Transactions!E44,""),"")</f>
        <v>7.8</v>
      </c>
    </row>
    <row r="43" ht="15.75" customHeight="1">
      <c r="B43" s="36" t="s">
        <v>155</v>
      </c>
      <c r="C43" s="37">
        <f>SUMIFS(Transactions!E:E,Transactions!B:B,"Expense",Transactions!C:C,"Subscription")</f>
        <v>437.369</v>
      </c>
      <c r="Z43" s="11">
        <f>IFERROR(IF(Transactions!B45="Expense",Transactions!E45+ROW()/10000000,""),"")</f>
        <v>0.1000043</v>
      </c>
      <c r="AA43" s="31">
        <f>IFERROR(IF(Transactions!B45="Expense",Transactions!A45,""),"")</f>
        <v>46140</v>
      </c>
      <c r="AB43" s="11" t="str">
        <f>IFERROR(IF(Transactions!B45="Expense",Transactions!C45,""),"")</f>
        <v>Transport</v>
      </c>
      <c r="AC43" s="11" t="str">
        <f>IFERROR(IF(Transactions!B45="Expense",Transactions!D45,""),"")</f>
        <v>Bus</v>
      </c>
      <c r="AD43" s="11">
        <f>IFERROR(IF(Transactions!B45="Expense",Transactions!E45,""),"")</f>
        <v>0.1</v>
      </c>
    </row>
    <row r="44" ht="15.75" customHeight="1">
      <c r="B44" s="36" t="s">
        <v>156</v>
      </c>
      <c r="C44" s="42">
        <f>COUNTIFS(Transactions!B:B,"Expense",Transactions!C:C,"Subscription")</f>
        <v>18</v>
      </c>
      <c r="Z44" s="11">
        <f>IFERROR(IF(Transactions!B46="Expense",Transactions!E46+ROW()/10000000,""),"")</f>
        <v>11.5000044</v>
      </c>
      <c r="AA44" s="31">
        <f>IFERROR(IF(Transactions!B46="Expense",Transactions!A46,""),"")</f>
        <v>46141</v>
      </c>
      <c r="AB44" s="11" t="str">
        <f>IFERROR(IF(Transactions!B46="Expense",Transactions!C46,""),"")</f>
        <v>Food</v>
      </c>
      <c r="AC44" s="11" t="str">
        <f>IFERROR(IF(Transactions!B46="Expense",Transactions!D46,""),"")</f>
        <v>Stuffd</v>
      </c>
      <c r="AD44" s="11">
        <f>IFERROR(IF(Transactions!B46="Expense",Transactions!E46,""),"")</f>
        <v>11.5</v>
      </c>
    </row>
    <row r="45" ht="15.75" customHeight="1">
      <c r="B45" s="36" t="s">
        <v>157</v>
      </c>
      <c r="C45" s="37">
        <f>IFERROR(C43/C44,0)</f>
        <v>24.29827778</v>
      </c>
      <c r="Z45" s="11">
        <f>IFERROR(IF(Transactions!B47="Expense",Transactions!E47+ROW()/10000000,""),"")</f>
        <v>14.5000045</v>
      </c>
      <c r="AA45" s="31">
        <f>IFERROR(IF(Transactions!B47="Expense",Transactions!A47,""),"")</f>
        <v>46142</v>
      </c>
      <c r="AB45" s="11" t="str">
        <f>IFERROR(IF(Transactions!B47="Expense",Transactions!C47,""),"")</f>
        <v>Food</v>
      </c>
      <c r="AC45" s="11" t="str">
        <f>IFERROR(IF(Transactions!B47="Expense",Transactions!D47,""),"")</f>
        <v>Andes</v>
      </c>
      <c r="AD45" s="11">
        <f>IFERROR(IF(Transactions!B47="Expense",Transactions!E47,""),"")</f>
        <v>14.5</v>
      </c>
    </row>
    <row r="46" ht="15.75" customHeight="1">
      <c r="B46" s="36" t="s">
        <v>158</v>
      </c>
      <c r="C46" s="37">
        <f>C45*12</f>
        <v>291.5793333</v>
      </c>
      <c r="Z46" s="11">
        <f>IFERROR(IF(Transactions!B48="Expense",Transactions!E48+ROW()/10000000,""),"")</f>
        <v>26.4800046</v>
      </c>
      <c r="AA46" s="31">
        <f>IFERROR(IF(Transactions!B48="Expense",Transactions!A48,""),"")</f>
        <v>46143</v>
      </c>
      <c r="AB46" s="11" t="str">
        <f>IFERROR(IF(Transactions!B48="Expense",Transactions!C48,""),"")</f>
        <v>Shopping</v>
      </c>
      <c r="AC46" s="11" t="str">
        <f>IFERROR(IF(Transactions!B48="Expense",Transactions!D48,""),"")</f>
        <v>Arenaclub Pokemon Slab</v>
      </c>
      <c r="AD46" s="11">
        <f>IFERROR(IF(Transactions!B48="Expense",Transactions!E48,""),"")</f>
        <v>26.48</v>
      </c>
    </row>
    <row r="47" ht="15.75" customHeight="1">
      <c r="Z47" s="11">
        <f>IFERROR(IF(Transactions!B49="Expense",Transactions!E49+ROW()/10000000,""),"")</f>
        <v>89.0000047</v>
      </c>
      <c r="AA47" s="31">
        <f>IFERROR(IF(Transactions!B49="Expense",Transactions!A49,""),"")</f>
        <v>46143</v>
      </c>
      <c r="AB47" s="11" t="str">
        <f>IFERROR(IF(Transactions!B49="Expense",Transactions!C49,""),"")</f>
        <v>Subscription</v>
      </c>
      <c r="AC47" s="11" t="str">
        <f>IFERROR(IF(Transactions!B49="Expense",Transactions!D49,""),"")</f>
        <v>Anytime Fitness</v>
      </c>
      <c r="AD47" s="11">
        <f>IFERROR(IF(Transactions!B49="Expense",Transactions!E49,""),"")</f>
        <v>89</v>
      </c>
    </row>
    <row r="48" ht="24.0" customHeight="1">
      <c r="B48" s="32" t="s">
        <v>159</v>
      </c>
      <c r="C48" s="33"/>
      <c r="D48" s="33"/>
      <c r="E48" s="33"/>
      <c r="F48" s="33"/>
      <c r="G48" s="34"/>
      <c r="Z48" s="11">
        <f>IFERROR(IF(Transactions!B50="Expense",Transactions!E50+ROW()/10000000,""),"")</f>
        <v>75.0000048</v>
      </c>
      <c r="AA48" s="31">
        <f>IFERROR(IF(Transactions!B50="Expense",Transactions!A50,""),"")</f>
        <v>46143</v>
      </c>
      <c r="AB48" s="11" t="str">
        <f>IFERROR(IF(Transactions!B50="Expense",Transactions!C50,""),"")</f>
        <v>Food</v>
      </c>
      <c r="AC48" s="11" t="str">
        <f>IFERROR(IF(Transactions!B50="Expense",Transactions!D50,""),"")</f>
        <v>DTF + Movie</v>
      </c>
      <c r="AD48" s="11">
        <f>IFERROR(IF(Transactions!B50="Expense",Transactions!E50,""),"")</f>
        <v>75</v>
      </c>
    </row>
    <row r="49" ht="15.75" customHeight="1">
      <c r="B49" s="35" t="s">
        <v>126</v>
      </c>
      <c r="C49" s="35" t="s">
        <v>7</v>
      </c>
      <c r="D49" s="35" t="s">
        <v>10</v>
      </c>
      <c r="E49" s="35" t="s">
        <v>160</v>
      </c>
      <c r="F49" s="35" t="s">
        <v>161</v>
      </c>
      <c r="Z49" s="11">
        <f>IFERROR(IF(Transactions!B51="Expense",Transactions!E51+ROW()/10000000,""),"")</f>
        <v>39.9000049</v>
      </c>
      <c r="AA49" s="31">
        <f>IFERROR(IF(Transactions!B51="Expense",Transactions!A51,""),"")</f>
        <v>46144</v>
      </c>
      <c r="AB49" s="11" t="str">
        <f>IFERROR(IF(Transactions!B51="Expense",Transactions!C51,""),"")</f>
        <v>Shopping</v>
      </c>
      <c r="AC49" s="11" t="str">
        <f>IFERROR(IF(Transactions!B51="Expense",Transactions!D51,""),"")</f>
        <v>Pokemon Card</v>
      </c>
      <c r="AD49" s="11">
        <f>IFERROR(IF(Transactions!B51="Expense",Transactions!E51,""),"")</f>
        <v>39.9</v>
      </c>
    </row>
    <row r="50" ht="15.75" customHeight="1">
      <c r="B50" s="36" t="s">
        <v>127</v>
      </c>
      <c r="C50" s="37" t="str">
        <f t="shared" ref="C50:D50" si="5">#REF!</f>
        <v>#REF!</v>
      </c>
      <c r="D50" s="37" t="str">
        <f t="shared" si="5"/>
        <v>#REF!</v>
      </c>
      <c r="E50" s="37" t="str">
        <f t="shared" ref="E50:E55" si="7">MAX(D50-C50,0)</f>
        <v>#REF!</v>
      </c>
      <c r="F50" s="43" t="str">
        <f t="shared" ref="F50:F55" si="8">IF(D50&gt;C50,"⚠ Over Budget","OK")</f>
        <v>#REF!</v>
      </c>
      <c r="Z50" s="11">
        <f>IFERROR(IF(Transactions!B52="Expense",Transactions!E52+ROW()/10000000,""),"")</f>
        <v>30.000005</v>
      </c>
      <c r="AA50" s="31">
        <f>IFERROR(IF(Transactions!B52="Expense",Transactions!A52,""),"")</f>
        <v>46144</v>
      </c>
      <c r="AB50" s="11" t="str">
        <f>IFERROR(IF(Transactions!B52="Expense",Transactions!C52,""),"")</f>
        <v>Subscription</v>
      </c>
      <c r="AC50" s="11" t="str">
        <f>IFERROR(IF(Transactions!B52="Expense",Transactions!D52,""),"")</f>
        <v>Claude</v>
      </c>
      <c r="AD50" s="11">
        <f>IFERROR(IF(Transactions!B52="Expense",Transactions!E52,""),"")</f>
        <v>30</v>
      </c>
    </row>
    <row r="51" ht="15.75" customHeight="1">
      <c r="B51" s="36" t="s">
        <v>128</v>
      </c>
      <c r="C51" s="37" t="str">
        <f t="shared" ref="C51:D51" si="6">#REF!</f>
        <v>#REF!</v>
      </c>
      <c r="D51" s="37" t="str">
        <f t="shared" si="6"/>
        <v>#REF!</v>
      </c>
      <c r="E51" s="37" t="str">
        <f t="shared" si="7"/>
        <v>#REF!</v>
      </c>
      <c r="F51" s="43" t="str">
        <f t="shared" si="8"/>
        <v>#REF!</v>
      </c>
      <c r="Z51" s="11">
        <f>IFERROR(IF(Transactions!B53="Expense",Transactions!E53+ROW()/10000000,""),"")</f>
        <v>4.8000051</v>
      </c>
      <c r="AA51" s="31">
        <f>IFERROR(IF(Transactions!B53="Expense",Transactions!A53,""),"")</f>
        <v>46143</v>
      </c>
      <c r="AB51" s="11" t="str">
        <f>IFERROR(IF(Transactions!B53="Expense",Transactions!C53,""),"")</f>
        <v>Food</v>
      </c>
      <c r="AC51" s="11" t="str">
        <f>IFERROR(IF(Transactions!B53="Expense",Transactions!D53,""),"")</f>
        <v>Drinks</v>
      </c>
      <c r="AD51" s="11">
        <f>IFERROR(IF(Transactions!B53="Expense",Transactions!E53,""),"")</f>
        <v>4.8</v>
      </c>
    </row>
    <row r="52" ht="15.75" customHeight="1">
      <c r="B52" s="36" t="s">
        <v>129</v>
      </c>
      <c r="C52" s="37">
        <f t="shared" ref="C52:D52" si="9">C7</f>
        <v>8681.09</v>
      </c>
      <c r="D52" s="37">
        <f t="shared" si="9"/>
        <v>590.359</v>
      </c>
      <c r="E52" s="37">
        <f t="shared" si="7"/>
        <v>0</v>
      </c>
      <c r="F52" s="43" t="str">
        <f t="shared" si="8"/>
        <v>OK</v>
      </c>
      <c r="Z52" s="11">
        <f>IFERROR(IF(Transactions!B54="Expense",Transactions!E54+ROW()/10000000,""),"")</f>
        <v>6.1000052</v>
      </c>
      <c r="AA52" s="31">
        <f>IFERROR(IF(Transactions!B54="Expense",Transactions!A54,""),"")</f>
        <v>46143</v>
      </c>
      <c r="AB52" s="11" t="str">
        <f>IFERROR(IF(Transactions!B54="Expense",Transactions!C54,""),"")</f>
        <v>Food</v>
      </c>
      <c r="AC52" s="11" t="str">
        <f>IFERROR(IF(Transactions!B54="Expense",Transactions!D54,""),"")</f>
        <v>Breadtalk</v>
      </c>
      <c r="AD52" s="11">
        <f>IFERROR(IF(Transactions!B54="Expense",Transactions!E54,""),"")</f>
        <v>6.1</v>
      </c>
    </row>
    <row r="53" ht="15.75" customHeight="1">
      <c r="B53" s="36" t="s">
        <v>130</v>
      </c>
      <c r="C53" s="37">
        <f t="shared" ref="C53:D53" si="10">C8</f>
        <v>6776.5</v>
      </c>
      <c r="D53" s="37">
        <f t="shared" si="10"/>
        <v>3776.96</v>
      </c>
      <c r="E53" s="37">
        <f t="shared" si="7"/>
        <v>0</v>
      </c>
      <c r="F53" s="43" t="str">
        <f t="shared" si="8"/>
        <v>OK</v>
      </c>
      <c r="Z53" s="11">
        <f>IFERROR(IF(Transactions!B55="Expense",Transactions!E55+ROW()/10000000,""),"")</f>
        <v>6.5000053</v>
      </c>
      <c r="AA53" s="31">
        <f>IFERROR(IF(Transactions!B55="Expense",Transactions!A55,""),"")</f>
        <v>46144</v>
      </c>
      <c r="AB53" s="11" t="str">
        <f>IFERROR(IF(Transactions!B55="Expense",Transactions!C55,""),"")</f>
        <v>Food</v>
      </c>
      <c r="AC53" s="11" t="str">
        <f>IFERROR(IF(Transactions!B55="Expense",Transactions!D55,""),"")</f>
        <v>BK</v>
      </c>
      <c r="AD53" s="11">
        <f>IFERROR(IF(Transactions!B55="Expense",Transactions!E55,""),"")</f>
        <v>6.5</v>
      </c>
    </row>
    <row r="54" ht="15.75" customHeight="1">
      <c r="B54" s="36" t="s">
        <v>131</v>
      </c>
      <c r="C54" s="37">
        <f t="shared" ref="C54:D54" si="11">C9</f>
        <v>0</v>
      </c>
      <c r="D54" s="37">
        <f t="shared" si="11"/>
        <v>0</v>
      </c>
      <c r="E54" s="37">
        <f t="shared" si="7"/>
        <v>0</v>
      </c>
      <c r="F54" s="43" t="str">
        <f t="shared" si="8"/>
        <v>OK</v>
      </c>
      <c r="Z54" s="11">
        <f>IFERROR(IF(Transactions!B56="Expense",Transactions!E56+ROW()/10000000,""),"")</f>
        <v>13.4500054</v>
      </c>
      <c r="AA54" s="31">
        <f>IFERROR(IF(Transactions!B56="Expense",Transactions!A56,""),"")</f>
        <v>46144</v>
      </c>
      <c r="AB54" s="11" t="str">
        <f>IFERROR(IF(Transactions!B56="Expense",Transactions!C56,""),"")</f>
        <v>Subscription</v>
      </c>
      <c r="AC54" s="11" t="str">
        <f>IFERROR(IF(Transactions!B56="Expense",Transactions!D56,""),"")</f>
        <v>Hetzener VPS</v>
      </c>
      <c r="AD54" s="11">
        <f>IFERROR(IF(Transactions!B56="Expense",Transactions!E56,""),"")</f>
        <v>13.45</v>
      </c>
    </row>
    <row r="55" ht="15.75" customHeight="1">
      <c r="B55" s="36" t="s">
        <v>132</v>
      </c>
      <c r="C55" s="37">
        <f t="shared" ref="C55:D55" si="12">C10</f>
        <v>0</v>
      </c>
      <c r="D55" s="37">
        <f t="shared" si="12"/>
        <v>0</v>
      </c>
      <c r="E55" s="37">
        <f t="shared" si="7"/>
        <v>0</v>
      </c>
      <c r="F55" s="43" t="str">
        <f t="shared" si="8"/>
        <v>OK</v>
      </c>
      <c r="Z55" s="11">
        <f>IFERROR(IF(Transactions!B57="Expense",Transactions!E57+ROW()/10000000,""),"")</f>
        <v>33.9000055</v>
      </c>
      <c r="AA55" s="31">
        <f>IFERROR(IF(Transactions!B57="Expense",Transactions!A57,""),"")</f>
        <v>46144</v>
      </c>
      <c r="AB55" s="11" t="str">
        <f>IFERROR(IF(Transactions!B57="Expense",Transactions!C57,""),"")</f>
        <v>Subscription</v>
      </c>
      <c r="AC55" s="11" t="str">
        <f>IFERROR(IF(Transactions!B57="Expense",Transactions!D57,""),"")</f>
        <v>Newspaper</v>
      </c>
      <c r="AD55" s="11">
        <f>IFERROR(IF(Transactions!B57="Expense",Transactions!E57,""),"")</f>
        <v>33.9</v>
      </c>
    </row>
    <row r="56" ht="15.75" customHeight="1">
      <c r="Z56" s="11">
        <f>IFERROR(IF(Transactions!B58="Expense",Transactions!E58+ROW()/10000000,""),"")</f>
        <v>80.0000056</v>
      </c>
      <c r="AA56" s="31">
        <f>IFERROR(IF(Transactions!B58="Expense",Transactions!A58,""),"")</f>
        <v>46145</v>
      </c>
      <c r="AB56" s="11" t="str">
        <f>IFERROR(IF(Transactions!B58="Expense",Transactions!C58,""),"")</f>
        <v>Entertainment</v>
      </c>
      <c r="AC56" s="11" t="str">
        <f>IFERROR(IF(Transactions!B58="Expense",Transactions!D58,""),"")</f>
        <v>Movie</v>
      </c>
      <c r="AD56" s="11">
        <f>IFERROR(IF(Transactions!B58="Expense",Transactions!E58,""),"")</f>
        <v>80</v>
      </c>
    </row>
    <row r="57" ht="24.0" customHeight="1">
      <c r="B57" s="32" t="s">
        <v>162</v>
      </c>
      <c r="C57" s="33"/>
      <c r="D57" s="33"/>
      <c r="E57" s="33"/>
      <c r="F57" s="33"/>
      <c r="G57" s="34"/>
      <c r="Z57" s="11">
        <f>IFERROR(IF(Transactions!B59="Expense",Transactions!E59+ROW()/10000000,""),"")</f>
        <v>14.0000057</v>
      </c>
      <c r="AA57" s="31">
        <f>IFERROR(IF(Transactions!B59="Expense",Transactions!A59,""),"")</f>
        <v>46145</v>
      </c>
      <c r="AB57" s="11" t="str">
        <f>IFERROR(IF(Transactions!B59="Expense",Transactions!C59,""),"")</f>
        <v>Transport</v>
      </c>
      <c r="AC57" s="11" t="str">
        <f>IFERROR(IF(Transactions!B59="Expense",Transactions!D59,""),"")</f>
        <v>Car Wash</v>
      </c>
      <c r="AD57" s="11">
        <f>IFERROR(IF(Transactions!B59="Expense",Transactions!E59,""),"")</f>
        <v>14</v>
      </c>
    </row>
    <row r="58" ht="15.75" customHeight="1">
      <c r="B58" s="35" t="s">
        <v>139</v>
      </c>
      <c r="C58" s="35" t="s">
        <v>2</v>
      </c>
      <c r="D58" s="35" t="s">
        <v>163</v>
      </c>
      <c r="E58" s="35" t="s">
        <v>164</v>
      </c>
      <c r="F58" s="35" t="s">
        <v>165</v>
      </c>
      <c r="Z58" s="11">
        <f>IFERROR(IF(Transactions!B60="Expense",Transactions!E60+ROW()/10000000,""),"")</f>
        <v>3.4000058</v>
      </c>
      <c r="AA58" s="31">
        <f>IFERROR(IF(Transactions!B60="Expense",Transactions!A60,""),"")</f>
        <v>46146</v>
      </c>
      <c r="AB58" s="11" t="str">
        <f>IFERROR(IF(Transactions!B60="Expense",Transactions!C60,""),"")</f>
        <v>Food</v>
      </c>
      <c r="AC58" s="11" t="str">
        <f>IFERROR(IF(Transactions!B60="Expense",Transactions!D60,""),"")</f>
        <v>Tea</v>
      </c>
      <c r="AD58" s="11">
        <f>IFERROR(IF(Transactions!B60="Expense",Transactions!E60,""),"")</f>
        <v>3.4</v>
      </c>
    </row>
    <row r="59" ht="15.75" customHeight="1">
      <c r="B59" s="43">
        <v>1.0</v>
      </c>
      <c r="C59" s="36" t="str">
        <f t="array" ref="C59">IFERROR(INDEX(Dashboard!$J$22:$J$32,MATCH(LARGE(Dashboard!$K$22:$K$32,1),Dashboard!$K$22:$K$32,0)),"")</f>
        <v>Family</v>
      </c>
      <c r="D59" s="37">
        <f>IFERROR(LARGE(Dashboard!$K$22:$K$32,1),0)</f>
        <v>1000</v>
      </c>
      <c r="E59" s="37">
        <f t="shared" ref="E59:E61" si="13">D59*0.1</f>
        <v>100</v>
      </c>
      <c r="F59" s="37">
        <f t="shared" ref="F59:F61" si="14">D59*0.2</f>
        <v>200</v>
      </c>
      <c r="Z59" s="11">
        <f>IFERROR(IF(Transactions!B61="Expense",Transactions!E61+ROW()/10000000,""),"")</f>
        <v>8.5000059</v>
      </c>
      <c r="AA59" s="31">
        <f>IFERROR(IF(Transactions!B61="Expense",Transactions!A61,""),"")</f>
        <v>46147</v>
      </c>
      <c r="AB59" s="11" t="str">
        <f>IFERROR(IF(Transactions!B61="Expense",Transactions!C61,""),"")</f>
        <v>Food</v>
      </c>
      <c r="AC59" s="11" t="str">
        <f>IFERROR(IF(Transactions!B61="Expense",Transactions!D61,""),"")</f>
        <v>Citi Cafe</v>
      </c>
      <c r="AD59" s="11">
        <f>IFERROR(IF(Transactions!B61="Expense",Transactions!E61,""),"")</f>
        <v>8.5</v>
      </c>
    </row>
    <row r="60" ht="15.75" customHeight="1">
      <c r="B60" s="43">
        <v>2.0</v>
      </c>
      <c r="C60" s="36" t="str">
        <f t="array" ref="C60">IFERROR(INDEX(Dashboard!$J$22:$J$32,MATCH(LARGE(Dashboard!$K$22:$K$32,2),Dashboard!$K$22:$K$32,0)),"")</f>
        <v>Food</v>
      </c>
      <c r="D60" s="37">
        <f>IFERROR(LARGE(Dashboard!$K$22:$K$32,2),0)</f>
        <v>847.14</v>
      </c>
      <c r="E60" s="37">
        <f t="shared" si="13"/>
        <v>84.714</v>
      </c>
      <c r="F60" s="37">
        <f t="shared" si="14"/>
        <v>169.428</v>
      </c>
      <c r="Z60" s="11">
        <f>IFERROR(IF(Transactions!B62="Expense",Transactions!E62+ROW()/10000000,""),"")</f>
        <v>240.000006</v>
      </c>
      <c r="AA60" s="31">
        <f>IFERROR(IF(Transactions!B62="Expense",Transactions!A62,""),"")</f>
        <v>46148</v>
      </c>
      <c r="AB60" s="11" t="str">
        <f>IFERROR(IF(Transactions!B62="Expense",Transactions!C62,""),"")</f>
        <v>Bills</v>
      </c>
      <c r="AC60" s="11" t="str">
        <f>IFERROR(IF(Transactions!B62="Expense",Transactions!D62,""),"")</f>
        <v>Tax</v>
      </c>
      <c r="AD60" s="11">
        <f>IFERROR(IF(Transactions!B62="Expense",Transactions!E62,""),"")</f>
        <v>240</v>
      </c>
    </row>
    <row r="61" ht="15.75" customHeight="1">
      <c r="B61" s="43">
        <v>3.0</v>
      </c>
      <c r="C61" s="36" t="str">
        <f t="array" ref="C61">IFERROR(INDEX(Dashboard!$J$22:$J$32,MATCH(LARGE(Dashboard!$K$22:$K$32,3),Dashboard!$K$22:$K$32,0)),"")</f>
        <v>Travel</v>
      </c>
      <c r="D61" s="37">
        <f>IFERROR(LARGE(Dashboard!$K$22:$K$32,3),0)</f>
        <v>563.95</v>
      </c>
      <c r="E61" s="37">
        <f t="shared" si="13"/>
        <v>56.395</v>
      </c>
      <c r="F61" s="37">
        <f t="shared" si="14"/>
        <v>112.79</v>
      </c>
      <c r="Z61" s="11">
        <f>IFERROR(IF(Transactions!B63="Expense",Transactions!E63+ROW()/10000000,""),"")</f>
        <v>13.0000061</v>
      </c>
      <c r="AA61" s="31">
        <f>IFERROR(IF(Transactions!B63="Expense",Transactions!A63,""),"")</f>
        <v>46148</v>
      </c>
      <c r="AB61" s="11" t="str">
        <f>IFERROR(IF(Transactions!B63="Expense",Transactions!C63,""),"")</f>
        <v>Transport</v>
      </c>
      <c r="AC61" s="11" t="str">
        <f>IFERROR(IF(Transactions!B63="Expense",Transactions!D63,""),"")</f>
        <v>Grab Taxi</v>
      </c>
      <c r="AD61" s="11">
        <f>IFERROR(IF(Transactions!B63="Expense",Transactions!E63,""),"")</f>
        <v>13</v>
      </c>
    </row>
    <row r="62" ht="15.75" customHeight="1">
      <c r="Z62" s="11" t="str">
        <f>IFERROR(IF(Transactions!B64="Expense",Transactions!E64+ROW()/10000000,""),"")</f>
        <v/>
      </c>
      <c r="AA62" s="31" t="str">
        <f>IFERROR(IF(Transactions!B64="Expense",Transactions!A64,""),"")</f>
        <v/>
      </c>
      <c r="AB62" s="11" t="str">
        <f>IFERROR(IF(Transactions!B64="Expense",Transactions!C64,""),"")</f>
        <v/>
      </c>
      <c r="AC62" s="11" t="str">
        <f>IFERROR(IF(Transactions!B64="Expense",Transactions!D64,""),"")</f>
        <v/>
      </c>
      <c r="AD62" s="11" t="str">
        <f>IFERROR(IF(Transactions!B64="Expense",Transactions!E64,""),"")</f>
        <v/>
      </c>
    </row>
    <row r="63" ht="15.75" customHeight="1">
      <c r="B63" s="14" t="s">
        <v>166</v>
      </c>
      <c r="Z63" s="11" t="str">
        <f>IFERROR(IF(Transactions!B65="Expense",Transactions!E65+ROW()/10000000,""),"")</f>
        <v/>
      </c>
      <c r="AA63" s="31" t="str">
        <f>IFERROR(IF(Transactions!B65="Expense",Transactions!A65,""),"")</f>
        <v/>
      </c>
      <c r="AB63" s="11" t="str">
        <f>IFERROR(IF(Transactions!B65="Expense",Transactions!C65,""),"")</f>
        <v/>
      </c>
      <c r="AC63" s="11" t="str">
        <f>IFERROR(IF(Transactions!B65="Expense",Transactions!D65,""),"")</f>
        <v/>
      </c>
      <c r="AD63" s="11" t="str">
        <f>IFERROR(IF(Transactions!B65="Expense",Transactions!E65,""),"")</f>
        <v/>
      </c>
    </row>
    <row r="64" ht="15.75" customHeight="1">
      <c r="B64" s="45" t="s">
        <v>167</v>
      </c>
      <c r="C64" s="37">
        <f>SUM(F59:F61)/COUNT(Dashboard!$K$13:$K$18)</f>
        <v>80.36966667</v>
      </c>
      <c r="Z64" s="11" t="str">
        <f>IFERROR(IF(Transactions!B66="Expense",Transactions!E66+ROW()/10000000,""),"")</f>
        <v/>
      </c>
      <c r="AA64" s="31" t="str">
        <f>IFERROR(IF(Transactions!B66="Expense",Transactions!A66,""),"")</f>
        <v/>
      </c>
      <c r="AB64" s="11" t="str">
        <f>IFERROR(IF(Transactions!B66="Expense",Transactions!C66,""),"")</f>
        <v/>
      </c>
      <c r="AC64" s="11" t="str">
        <f>IFERROR(IF(Transactions!B66="Expense",Transactions!D66,""),"")</f>
        <v/>
      </c>
      <c r="AD64" s="11" t="str">
        <f>IFERROR(IF(Transactions!B66="Expense",Transactions!E66,""),"")</f>
        <v/>
      </c>
    </row>
    <row r="65" ht="15.75" customHeight="1">
      <c r="Z65" s="11">
        <f>IFERROR(IF(Transactions!B67="Expense",Transactions!E67+ROW()/10000000,""),"")</f>
        <v>28.5900065</v>
      </c>
      <c r="AA65" s="31">
        <f>IFERROR(IF(Transactions!B67="Expense",Transactions!A67,""),"")</f>
        <v>46151</v>
      </c>
      <c r="AB65" s="11" t="str">
        <f>IFERROR(IF(Transactions!B67="Expense",Transactions!C67,""),"")</f>
        <v>Subscription</v>
      </c>
      <c r="AC65" s="11" t="str">
        <f>IFERROR(IF(Transactions!B67="Expense",Transactions!D67,""),"")</f>
        <v>ChatGPT</v>
      </c>
      <c r="AD65" s="11">
        <f>IFERROR(IF(Transactions!B67="Expense",Transactions!E67,""),"")</f>
        <v>28.59</v>
      </c>
    </row>
    <row r="66" ht="15.75" customHeight="1">
      <c r="Z66" s="11">
        <f>IFERROR(IF(Transactions!B68="Expense",Transactions!E68+ROW()/10000000,""),"")</f>
        <v>19.9000066</v>
      </c>
      <c r="AA66" s="31">
        <f>IFERROR(IF(Transactions!B68="Expense",Transactions!A68,""),"")</f>
        <v>46145</v>
      </c>
      <c r="AB66" s="11" t="str">
        <f>IFERROR(IF(Transactions!B68="Expense",Transactions!C68,""),"")</f>
        <v>Shopping</v>
      </c>
      <c r="AC66" s="11" t="str">
        <f>IFERROR(IF(Transactions!B68="Expense",Transactions!D68,""),"")</f>
        <v>Pokemon Card</v>
      </c>
      <c r="AD66" s="11">
        <f>IFERROR(IF(Transactions!B68="Expense",Transactions!E68,""),"")</f>
        <v>19.9</v>
      </c>
    </row>
    <row r="67" ht="15.75" customHeight="1">
      <c r="Z67" s="11">
        <f>IFERROR(IF(Transactions!B69="Expense",Transactions!E69+ROW()/10000000,""),"")</f>
        <v>15.9600067</v>
      </c>
      <c r="AA67" s="31">
        <f>IFERROR(IF(Transactions!B69="Expense",Transactions!A69,""),"")</f>
        <v>46145</v>
      </c>
      <c r="AB67" s="11" t="str">
        <f>IFERROR(IF(Transactions!B69="Expense",Transactions!C69,""),"")</f>
        <v>Shopping</v>
      </c>
      <c r="AC67" s="11" t="str">
        <f>IFERROR(IF(Transactions!B69="Expense",Transactions!D69,""),"")</f>
        <v>Pokemon Card</v>
      </c>
      <c r="AD67" s="11">
        <f>IFERROR(IF(Transactions!B69="Expense",Transactions!E69,""),"")</f>
        <v>15.96</v>
      </c>
    </row>
    <row r="68" ht="15.75" customHeight="1">
      <c r="Z68" s="11">
        <f>IFERROR(IF(Transactions!B70="Expense",Transactions!E70+ROW()/10000000,""),"")</f>
        <v>70.0000068</v>
      </c>
      <c r="AA68" s="31">
        <f>IFERROR(IF(Transactions!B70="Expense",Transactions!A70,""),"")</f>
        <v>46146</v>
      </c>
      <c r="AB68" s="11" t="str">
        <f>IFERROR(IF(Transactions!B70="Expense",Transactions!C70,""),"")</f>
        <v>Misc</v>
      </c>
      <c r="AC68" s="11" t="str">
        <f>IFERROR(IF(Transactions!B70="Expense",Transactions!D70,""),"")</f>
        <v>Donation</v>
      </c>
      <c r="AD68" s="11">
        <f>IFERROR(IF(Transactions!B70="Expense",Transactions!E70,""),"")</f>
        <v>70</v>
      </c>
    </row>
    <row r="69" ht="15.75" customHeight="1">
      <c r="Z69" s="11">
        <f>IFERROR(IF(Transactions!B71="Expense",Transactions!E71+ROW()/10000000,""),"")</f>
        <v>9.0000069</v>
      </c>
      <c r="AA69" s="31">
        <f>IFERROR(IF(Transactions!B71="Expense",Transactions!A71,""),"")</f>
        <v>46148</v>
      </c>
      <c r="AB69" s="11" t="str">
        <f>IFERROR(IF(Transactions!B71="Expense",Transactions!C71,""),"")</f>
        <v>Subscription</v>
      </c>
      <c r="AC69" s="11" t="str">
        <f>IFERROR(IF(Transactions!B71="Expense",Transactions!D71,""),"")</f>
        <v>NTUC membership</v>
      </c>
      <c r="AD69" s="11">
        <f>IFERROR(IF(Transactions!B71="Expense",Transactions!E71,""),"")</f>
        <v>9</v>
      </c>
    </row>
    <row r="70" ht="15.75" customHeight="1">
      <c r="Z70" s="11">
        <f>IFERROR(IF(Transactions!B72="Expense",Transactions!E72+ROW()/10000000,""),"")</f>
        <v>20.000007</v>
      </c>
      <c r="AA70" s="31">
        <f>IFERROR(IF(Transactions!B72="Expense",Transactions!A72,""),"")</f>
        <v>46145</v>
      </c>
      <c r="AB70" s="11" t="str">
        <f>IFERROR(IF(Transactions!B72="Expense",Transactions!C72,""),"")</f>
        <v>Food</v>
      </c>
      <c r="AC70" s="11" t="str">
        <f>IFERROR(IF(Transactions!B72="Expense",Transactions!D72,""),"")</f>
        <v>Popcorn</v>
      </c>
      <c r="AD70" s="11">
        <f>IFERROR(IF(Transactions!B72="Expense",Transactions!E72,""),"")</f>
        <v>20</v>
      </c>
    </row>
    <row r="71" ht="15.75" customHeight="1">
      <c r="Z71" s="11">
        <f>IFERROR(IF(Transactions!B73="Expense",Transactions!E73+ROW()/10000000,""),"")</f>
        <v>23.6500071</v>
      </c>
      <c r="AA71" s="31">
        <f>IFERROR(IF(Transactions!B73="Expense",Transactions!A73,""),"")</f>
        <v>46146</v>
      </c>
      <c r="AB71" s="11" t="str">
        <f>IFERROR(IF(Transactions!B73="Expense",Transactions!C73,""),"")</f>
        <v>Grocery</v>
      </c>
      <c r="AC71" s="11" t="str">
        <f>IFERROR(IF(Transactions!B73="Expense",Transactions!D73,""),"")</f>
        <v>Fairprice</v>
      </c>
      <c r="AD71" s="11">
        <f>IFERROR(IF(Transactions!B73="Expense",Transactions!E73,""),"")</f>
        <v>23.65</v>
      </c>
    </row>
    <row r="72" ht="15.75" customHeight="1">
      <c r="Z72" s="11">
        <f>IFERROR(IF(Transactions!B74="Expense",Transactions!E74+ROW()/10000000,""),"")</f>
        <v>11.9000072</v>
      </c>
      <c r="AA72" s="31">
        <f>IFERROR(IF(Transactions!B74="Expense",Transactions!A74,""),"")</f>
        <v>46146</v>
      </c>
      <c r="AB72" s="11" t="str">
        <f>IFERROR(IF(Transactions!B74="Expense",Transactions!C74,""),"")</f>
        <v>Food</v>
      </c>
      <c r="AC72" s="11" t="str">
        <f>IFERROR(IF(Transactions!B74="Expense",Transactions!D74,""),"")</f>
        <v>Burger King</v>
      </c>
      <c r="AD72" s="11">
        <f>IFERROR(IF(Transactions!B74="Expense",Transactions!E74,""),"")</f>
        <v>11.9</v>
      </c>
    </row>
    <row r="73" ht="15.75" customHeight="1">
      <c r="Z73" s="11">
        <f>IFERROR(IF(Transactions!B75="Expense",Transactions!E75+ROW()/10000000,""),"")</f>
        <v>7.1000073</v>
      </c>
      <c r="AA73" s="31">
        <f>IFERROR(IF(Transactions!B75="Expense",Transactions!A75,""),"")</f>
        <v>46148</v>
      </c>
      <c r="AB73" s="11" t="str">
        <f>IFERROR(IF(Transactions!B75="Expense",Transactions!C75,""),"")</f>
        <v>Food</v>
      </c>
      <c r="AC73" s="11" t="str">
        <f>IFERROR(IF(Transactions!B75="Expense",Transactions!D75,""),"")</f>
        <v>Chicken Rice</v>
      </c>
      <c r="AD73" s="11">
        <f>IFERROR(IF(Transactions!B75="Expense",Transactions!E75,""),"")</f>
        <v>7.1</v>
      </c>
    </row>
    <row r="74" ht="15.75" customHeight="1">
      <c r="Z74" s="11">
        <f>IFERROR(IF(Transactions!B76="Expense",Transactions!E76+ROW()/10000000,""),"")</f>
        <v>7.1000074</v>
      </c>
      <c r="AA74" s="31">
        <f>IFERROR(IF(Transactions!B76="Expense",Transactions!A76,""),"")</f>
        <v>46149</v>
      </c>
      <c r="AB74" s="11" t="str">
        <f>IFERROR(IF(Transactions!B76="Expense",Transactions!C76,""),"")</f>
        <v>Food</v>
      </c>
      <c r="AC74" s="11" t="str">
        <f>IFERROR(IF(Transactions!B76="Expense",Transactions!D76,""),"")</f>
        <v>Chicken Rice</v>
      </c>
      <c r="AD74" s="11">
        <f>IFERROR(IF(Transactions!B76="Expense",Transactions!E76,""),"")</f>
        <v>7.1</v>
      </c>
    </row>
    <row r="75" ht="15.75" customHeight="1">
      <c r="Z75" s="11">
        <f>IFERROR(IF(Transactions!B77="Expense",Transactions!E77+ROW()/10000000,""),"")</f>
        <v>7.1000075</v>
      </c>
      <c r="AA75" s="31">
        <f>IFERROR(IF(Transactions!B77="Expense",Transactions!A77,""),"")</f>
        <v>46150</v>
      </c>
      <c r="AB75" s="11" t="str">
        <f>IFERROR(IF(Transactions!B77="Expense",Transactions!C77,""),"")</f>
        <v>Food</v>
      </c>
      <c r="AC75" s="11" t="str">
        <f>IFERROR(IF(Transactions!B77="Expense",Transactions!D77,""),"")</f>
        <v>Chicken Rice</v>
      </c>
      <c r="AD75" s="11">
        <f>IFERROR(IF(Transactions!B77="Expense",Transactions!E77,""),"")</f>
        <v>7.1</v>
      </c>
    </row>
    <row r="76" ht="15.75" customHeight="1">
      <c r="Z76" s="11">
        <f>IFERROR(IF(Transactions!B78="Expense",Transactions!E78+ROW()/10000000,""),"")</f>
        <v>28.2800076</v>
      </c>
      <c r="AA76" s="31">
        <f>IFERROR(IF(Transactions!B78="Expense",Transactions!A78,""),"")</f>
        <v>46151</v>
      </c>
      <c r="AB76" s="11" t="str">
        <f>IFERROR(IF(Transactions!B78="Expense",Transactions!C78,""),"")</f>
        <v>Shopping</v>
      </c>
      <c r="AC76" s="11" t="str">
        <f>IFERROR(IF(Transactions!B78="Expense",Transactions!D78,""),"")</f>
        <v>Nasal Strip</v>
      </c>
      <c r="AD76" s="11">
        <f>IFERROR(IF(Transactions!B78="Expense",Transactions!E78,""),"")</f>
        <v>28.28</v>
      </c>
    </row>
    <row r="77" ht="15.75" customHeight="1">
      <c r="Z77" s="11" t="str">
        <f>IFERROR(IF(Transactions!B79="Expense",Transactions!E79+ROW()/10000000,""),"")</f>
        <v/>
      </c>
      <c r="AA77" s="31" t="str">
        <f>IFERROR(IF(Transactions!B79="Expense",Transactions!A79,""),"")</f>
        <v/>
      </c>
      <c r="AB77" s="11" t="str">
        <f>IFERROR(IF(Transactions!B79="Expense",Transactions!C79,""),"")</f>
        <v/>
      </c>
      <c r="AC77" s="11" t="str">
        <f>IFERROR(IF(Transactions!B79="Expense",Transactions!D79,""),"")</f>
        <v/>
      </c>
      <c r="AD77" s="11" t="str">
        <f>IFERROR(IF(Transactions!B79="Expense",Transactions!E79,""),"")</f>
        <v/>
      </c>
    </row>
    <row r="78" ht="15.75" customHeight="1">
      <c r="Z78" s="11">
        <f>IFERROR(IF(Transactions!B80="Expense",Transactions!E80+ROW()/10000000,""),"")</f>
        <v>14.1200078</v>
      </c>
      <c r="AA78" s="31">
        <f>IFERROR(IF(Transactions!B80="Expense",Transactions!A80,""),"")</f>
        <v>46151</v>
      </c>
      <c r="AB78" s="11" t="str">
        <f>IFERROR(IF(Transactions!B80="Expense",Transactions!C80,""),"")</f>
        <v>Grocery</v>
      </c>
      <c r="AC78" s="11" t="str">
        <f>IFERROR(IF(Transactions!B80="Expense",Transactions!D80,""),"")</f>
        <v>Fairprice</v>
      </c>
      <c r="AD78" s="11">
        <f>IFERROR(IF(Transactions!B80="Expense",Transactions!E80,""),"")</f>
        <v>14.12</v>
      </c>
    </row>
    <row r="79" ht="15.75" customHeight="1">
      <c r="Z79" s="11">
        <f>IFERROR(IF(Transactions!B81="Expense",Transactions!E81+ROW()/10000000,""),"")</f>
        <v>109.4700079</v>
      </c>
      <c r="AA79" s="31">
        <f>IFERROR(IF(Transactions!B81="Expense",Transactions!A81,""),"")</f>
        <v>46151</v>
      </c>
      <c r="AB79" s="11" t="str">
        <f>IFERROR(IF(Transactions!B81="Expense",Transactions!C81,""),"")</f>
        <v>Food</v>
      </c>
      <c r="AC79" s="11" t="str">
        <f>IFERROR(IF(Transactions!B81="Expense",Transactions!D81,""),"")</f>
        <v>Bali Thai Mother's day</v>
      </c>
      <c r="AD79" s="11">
        <f>IFERROR(IF(Transactions!B81="Expense",Transactions!E81,""),"")</f>
        <v>109.47</v>
      </c>
    </row>
    <row r="80" ht="15.75" customHeight="1">
      <c r="Z80" s="11">
        <f>IFERROR(IF(Transactions!B82="Expense",Transactions!E82+ROW()/10000000,""),"")</f>
        <v>55.000008</v>
      </c>
      <c r="AA80" s="31">
        <f>IFERROR(IF(Transactions!B82="Expense",Transactions!A82,""),"")</f>
        <v>46152</v>
      </c>
      <c r="AB80" s="11" t="str">
        <f>IFERROR(IF(Transactions!B82="Expense",Transactions!C82,""),"")</f>
        <v>Gift</v>
      </c>
      <c r="AC80" s="11" t="str">
        <f>IFERROR(IF(Transactions!B82="Expense",Transactions!D82,""),"")</f>
        <v>Mother's day flowers</v>
      </c>
      <c r="AD80" s="11">
        <f>IFERROR(IF(Transactions!B82="Expense",Transactions!E82,""),"")</f>
        <v>55</v>
      </c>
    </row>
    <row r="81" ht="15.75" customHeight="1">
      <c r="Z81" s="11">
        <f>IFERROR(IF(Transactions!B83="Expense",Transactions!E83+ROW()/10000000,""),"")</f>
        <v>23.0000081</v>
      </c>
      <c r="AA81" s="31">
        <f>IFERROR(IF(Transactions!B83="Expense",Transactions!A83,""),"")</f>
        <v>46152</v>
      </c>
      <c r="AB81" s="11" t="str">
        <f>IFERROR(IF(Transactions!B83="Expense",Transactions!C83,""),"")</f>
        <v>Food</v>
      </c>
      <c r="AC81" s="11" t="str">
        <f>IFERROR(IF(Transactions!B83="Expense",Transactions!D83,""),"")</f>
        <v>4 Fingers</v>
      </c>
      <c r="AD81" s="11">
        <f>IFERROR(IF(Transactions!B83="Expense",Transactions!E83,""),"")</f>
        <v>23</v>
      </c>
    </row>
    <row r="82" ht="15.75" customHeight="1">
      <c r="Z82" s="11">
        <f>IFERROR(IF(Transactions!B84="Expense",Transactions!E84+ROW()/10000000,""),"")</f>
        <v>10.8800082</v>
      </c>
      <c r="AA82" s="31">
        <f>IFERROR(IF(Transactions!B84="Expense",Transactions!A84,""),"")</f>
        <v>46152</v>
      </c>
      <c r="AB82" s="11" t="str">
        <f>IFERROR(IF(Transactions!B84="Expense",Transactions!C84,""),"")</f>
        <v>Food</v>
      </c>
      <c r="AC82" s="11" t="str">
        <f>IFERROR(IF(Transactions!B84="Expense",Transactions!D84,""),"")</f>
        <v>Briyani</v>
      </c>
      <c r="AD82" s="11">
        <f>IFERROR(IF(Transactions!B84="Expense",Transactions!E84,""),"")</f>
        <v>10.88</v>
      </c>
    </row>
    <row r="83" ht="15.75" customHeight="1">
      <c r="Z83" s="11">
        <f>IFERROR(IF(Transactions!B85="Expense",Transactions!E85+ROW()/10000000,""),"")</f>
        <v>5.1000083</v>
      </c>
      <c r="AA83" s="31">
        <f>IFERROR(IF(Transactions!B85="Expense",Transactions!A85,""),"")</f>
        <v>46153</v>
      </c>
      <c r="AB83" s="11" t="str">
        <f>IFERROR(IF(Transactions!B85="Expense",Transactions!C85,""),"")</f>
        <v>Food</v>
      </c>
      <c r="AC83" s="11" t="str">
        <f>IFERROR(IF(Transactions!B85="Expense",Transactions!D85,""),"")</f>
        <v>Chicken Rice</v>
      </c>
      <c r="AD83" s="11">
        <f>IFERROR(IF(Transactions!B85="Expense",Transactions!E85,""),"")</f>
        <v>5.1</v>
      </c>
    </row>
    <row r="84" ht="15.75" customHeight="1">
      <c r="Z84" s="11">
        <f>IFERROR(IF(Transactions!B86="Expense",Transactions!E86+ROW()/10000000,""),"")</f>
        <v>7.1000084</v>
      </c>
      <c r="AA84" s="31">
        <f>IFERROR(IF(Transactions!B86="Expense",Transactions!A86,""),"")</f>
        <v>46154</v>
      </c>
      <c r="AB84" s="11" t="str">
        <f>IFERROR(IF(Transactions!B86="Expense",Transactions!C86,""),"")</f>
        <v>Food</v>
      </c>
      <c r="AC84" s="11" t="str">
        <f>IFERROR(IF(Transactions!B86="Expense",Transactions!D86,""),"")</f>
        <v>Chicken Rice</v>
      </c>
      <c r="AD84" s="11">
        <f>IFERROR(IF(Transactions!B86="Expense",Transactions!E86,""),"")</f>
        <v>7.1</v>
      </c>
    </row>
    <row r="85" ht="15.75" customHeight="1">
      <c r="Z85" s="11">
        <f>IFERROR(IF(Transactions!B87="Expense",Transactions!E87+ROW()/10000000,""),"")</f>
        <v>19.3500085</v>
      </c>
      <c r="AA85" s="31">
        <f>IFERROR(IF(Transactions!B87="Expense",Transactions!A87,""),"")</f>
        <v>46154</v>
      </c>
      <c r="AB85" s="11" t="str">
        <f>IFERROR(IF(Transactions!B87="Expense",Transactions!C87,""),"")</f>
        <v>Food</v>
      </c>
      <c r="AC85" s="11" t="str">
        <f>IFERROR(IF(Transactions!B87="Expense",Transactions!D87,""),"")</f>
        <v>Mcd</v>
      </c>
      <c r="AD85" s="11">
        <f>IFERROR(IF(Transactions!B87="Expense",Transactions!E87,""),"")</f>
        <v>19.35</v>
      </c>
    </row>
    <row r="86" ht="15.75" customHeight="1">
      <c r="Z86" s="11">
        <f>IFERROR(IF(Transactions!B88="Expense",Transactions!E88+ROW()/10000000,""),"")</f>
        <v>7.1000086</v>
      </c>
      <c r="AA86" s="31">
        <f>IFERROR(IF(Transactions!B88="Expense",Transactions!A88,""),"")</f>
        <v>46155</v>
      </c>
      <c r="AB86" s="11" t="str">
        <f>IFERROR(IF(Transactions!B88="Expense",Transactions!C88,""),"")</f>
        <v>Food</v>
      </c>
      <c r="AC86" s="11" t="str">
        <f>IFERROR(IF(Transactions!B88="Expense",Transactions!D88,""),"")</f>
        <v>Chicken Rice</v>
      </c>
      <c r="AD86" s="11">
        <f>IFERROR(IF(Transactions!B88="Expense",Transactions!E88,""),"")</f>
        <v>7.1</v>
      </c>
    </row>
    <row r="87" ht="15.75" customHeight="1">
      <c r="Z87" s="11">
        <f>IFERROR(IF(Transactions!B89="Expense",Transactions!E89+ROW()/10000000,""),"")</f>
        <v>9.4000087</v>
      </c>
      <c r="AA87" s="31">
        <f>IFERROR(IF(Transactions!B89="Expense",Transactions!A89,""),"")</f>
        <v>46156</v>
      </c>
      <c r="AB87" s="11" t="str">
        <f>IFERROR(IF(Transactions!B89="Expense",Transactions!C89,""),"")</f>
        <v>Food</v>
      </c>
      <c r="AC87" s="11" t="str">
        <f>IFERROR(IF(Transactions!B89="Expense",Transactions!D89,""),"")</f>
        <v>Wokhey</v>
      </c>
      <c r="AD87" s="11">
        <f>IFERROR(IF(Transactions!B89="Expense",Transactions!E89,""),"")</f>
        <v>9.4</v>
      </c>
    </row>
    <row r="88" ht="15.75" customHeight="1">
      <c r="Z88" s="11">
        <f>IFERROR(IF(Transactions!B90="Expense",Transactions!E90+ROW()/10000000,""),"")</f>
        <v>16.9100088</v>
      </c>
      <c r="AA88" s="31">
        <f>IFERROR(IF(Transactions!B90="Expense",Transactions!A90,""),"")</f>
        <v>46156</v>
      </c>
      <c r="AB88" s="11" t="str">
        <f>IFERROR(IF(Transactions!B90="Expense",Transactions!C90,""),"")</f>
        <v>Grocery</v>
      </c>
      <c r="AC88" s="11" t="str">
        <f>IFERROR(IF(Transactions!B90="Expense",Transactions!D90,""),"")</f>
        <v>Fairprice</v>
      </c>
      <c r="AD88" s="11">
        <f>IFERROR(IF(Transactions!B90="Expense",Transactions!E90,""),"")</f>
        <v>16.91</v>
      </c>
    </row>
    <row r="89" ht="15.75" customHeight="1">
      <c r="Z89" s="11">
        <f>IFERROR(IF(Transactions!B91="Expense",Transactions!E91+ROW()/10000000,""),"")</f>
        <v>5.3000089</v>
      </c>
      <c r="AA89" s="31">
        <f>IFERROR(IF(Transactions!B91="Expense",Transactions!A91,""),"")</f>
        <v>46154</v>
      </c>
      <c r="AB89" s="11" t="str">
        <f>IFERROR(IF(Transactions!B91="Expense",Transactions!C91,""),"")</f>
        <v>Food</v>
      </c>
      <c r="AC89" s="11" t="str">
        <f>IFERROR(IF(Transactions!B91="Expense",Transactions!D91,""),"")</f>
        <v>Tea</v>
      </c>
      <c r="AD89" s="11">
        <f>IFERROR(IF(Transactions!B91="Expense",Transactions!E91,""),"")</f>
        <v>5.3</v>
      </c>
    </row>
    <row r="90" ht="15.75" customHeight="1">
      <c r="Z90" s="11">
        <f>IFERROR(IF(Transactions!B92="Expense",Transactions!E92+ROW()/10000000,""),"")</f>
        <v>2.000009</v>
      </c>
      <c r="AA90" s="31">
        <f>IFERROR(IF(Transactions!B92="Expense",Transactions!A92,""),"")</f>
        <v>46153</v>
      </c>
      <c r="AB90" s="11" t="str">
        <f>IFERROR(IF(Transactions!B92="Expense",Transactions!C92,""),"")</f>
        <v>Misc</v>
      </c>
      <c r="AC90" s="11" t="str">
        <f>IFERROR(IF(Transactions!B92="Expense",Transactions!D92,""),"")</f>
        <v>Toto</v>
      </c>
      <c r="AD90" s="11">
        <f>IFERROR(IF(Transactions!B92="Expense",Transactions!E92,""),"")</f>
        <v>2</v>
      </c>
    </row>
    <row r="91" ht="15.75" customHeight="1">
      <c r="Z91" s="11">
        <f>IFERROR(IF(Transactions!B93="Expense",Transactions!E93+ROW()/10000000,""),"")</f>
        <v>22.9800091</v>
      </c>
      <c r="AA91" s="31" t="str">
        <f>IFERROR(IF(Transactions!B93="Expense",#REF!,""),"")</f>
        <v/>
      </c>
      <c r="AB91" s="11" t="str">
        <f>IFERROR(IF(Transactions!B93="Expense",Transactions!C93,""),"")</f>
        <v>Subscription</v>
      </c>
      <c r="AC91" s="11" t="str">
        <f>IFERROR(IF(Transactions!B93="Expense",Transactions!D93,""),"")</f>
        <v>Netflix</v>
      </c>
      <c r="AD91" s="11">
        <f>IFERROR(IF(Transactions!B93="Expense",Transactions!E93,""),"")</f>
        <v>22.98</v>
      </c>
    </row>
    <row r="92" ht="15.75" customHeight="1">
      <c r="Z92" s="11">
        <f>IFERROR(IF(Transactions!B94="Expense",Transactions!E94+ROW()/10000000,""),"")</f>
        <v>300.0000092</v>
      </c>
      <c r="AA92" s="31">
        <f>IFERROR(IF(Transactions!B94="Expense",Transactions!A93,""),"")</f>
        <v>46155</v>
      </c>
      <c r="AB92" s="11" t="str">
        <f>IFERROR(IF(Transactions!B94="Expense",Transactions!C94,""),"")</f>
        <v>Travel</v>
      </c>
      <c r="AC92" s="11" t="str">
        <f>IFERROR(IF(Transactions!B94="Expense",Transactions!D94,""),"")</f>
        <v>SGD to MYR</v>
      </c>
      <c r="AD92" s="11">
        <f>IFERROR(IF(Transactions!B94="Expense",Transactions!E94,""),"")</f>
        <v>300</v>
      </c>
    </row>
    <row r="93" ht="15.75" customHeight="1">
      <c r="Z93" s="11">
        <f>IFERROR(IF(Transactions!B95="Expense",Transactions!E95+ROW()/10000000,""),"")</f>
        <v>17.4600093</v>
      </c>
      <c r="AA93" s="31">
        <f>IFERROR(IF(Transactions!B95="Expense",Transactions!A95,""),"")</f>
        <v>46159</v>
      </c>
      <c r="AB93" s="11" t="str">
        <f>IFERROR(IF(Transactions!B95="Expense",Transactions!C95,""),"")</f>
        <v>Subscription</v>
      </c>
      <c r="AC93" s="11" t="str">
        <f>IFERROR(IF(Transactions!B95="Expense",Transactions!D95,""),"")</f>
        <v>Spotify</v>
      </c>
      <c r="AD93" s="11">
        <f>IFERROR(IF(Transactions!B95="Expense",Transactions!E95,""),"")</f>
        <v>17.46</v>
      </c>
    </row>
    <row r="94" ht="15.75" customHeight="1">
      <c r="Z94" s="11">
        <f>IFERROR(IF(Transactions!B96="Expense",Transactions!E96+ROW()/10000000,""),"")</f>
        <v>7.0000094</v>
      </c>
      <c r="AA94" s="31">
        <f>IFERROR(IF(Transactions!B96="Expense",Transactions!A96,""),"")</f>
        <v>46162</v>
      </c>
      <c r="AB94" s="11" t="str">
        <f>IFERROR(IF(Transactions!B96="Expense",Transactions!C96,""),"")</f>
        <v>Food</v>
      </c>
      <c r="AC94" s="11" t="str">
        <f>IFERROR(IF(Transactions!B96="Expense",Transactions!D96,""),"")</f>
        <v>Mixed Rice</v>
      </c>
      <c r="AD94" s="11">
        <f>IFERROR(IF(Transactions!B96="Expense",Transactions!E96,""),"")</f>
        <v>7</v>
      </c>
    </row>
    <row r="95" ht="15.75" customHeight="1">
      <c r="Z95" s="11">
        <f>IFERROR(IF(Transactions!B97="Expense",Transactions!E97+ROW()/10000000,""),"")</f>
        <v>10.3800095</v>
      </c>
      <c r="AA95" s="31">
        <f>IFERROR(IF(Transactions!B97="Expense",Transactions!A97,""),"")</f>
        <v>46152</v>
      </c>
      <c r="AB95" s="11" t="str">
        <f>IFERROR(IF(Transactions!B97="Expense",Transactions!C97,""),"")</f>
        <v>Transport</v>
      </c>
      <c r="AC95" s="11" t="str">
        <f>IFERROR(IF(Transactions!B97="Expense",Transactions!D97,""),"")</f>
        <v>MRT</v>
      </c>
      <c r="AD95" s="11">
        <f>IFERROR(IF(Transactions!B97="Expense",Transactions!E97,""),"")</f>
        <v>10.38</v>
      </c>
    </row>
    <row r="96" ht="15.75" customHeight="1">
      <c r="Z96" s="11">
        <f>IFERROR(IF(Transactions!B98="Expense",Transactions!E98+ROW()/10000000,""),"")</f>
        <v>4.5000096</v>
      </c>
      <c r="AA96" s="31">
        <f>IFERROR(IF(Transactions!B98="Expense",Transactions!A98,""),"")</f>
        <v>46157</v>
      </c>
      <c r="AB96" s="11" t="str">
        <f>IFERROR(IF(Transactions!B98="Expense",Transactions!C98,""),"")</f>
        <v>Food</v>
      </c>
      <c r="AC96" s="11" t="str">
        <f>IFERROR(IF(Transactions!B98="Expense",Transactions!D98,""),"")</f>
        <v>Koufu</v>
      </c>
      <c r="AD96" s="11">
        <f>IFERROR(IF(Transactions!B98="Expense",Transactions!E98,""),"")</f>
        <v>4.5</v>
      </c>
    </row>
    <row r="97" ht="15.75" customHeight="1">
      <c r="Z97" s="11">
        <f>IFERROR(IF(Transactions!B99="Expense",Transactions!E99+ROW()/10000000,""),"")</f>
        <v>18.2000097</v>
      </c>
      <c r="AA97" s="31">
        <f>IFERROR(IF(Transactions!B99="Expense",Transactions!A99,""),"")</f>
        <v>46157</v>
      </c>
      <c r="AB97" s="11" t="str">
        <f>IFERROR(IF(Transactions!B99="Expense",Transactions!C99,""),"")</f>
        <v>Food</v>
      </c>
      <c r="AC97" s="11" t="str">
        <f>IFERROR(IF(Transactions!B99="Expense",Transactions!D99,""),"")</f>
        <v>Mcd</v>
      </c>
      <c r="AD97" s="11">
        <f>IFERROR(IF(Transactions!B99="Expense",Transactions!E99,""),"")</f>
        <v>18.2</v>
      </c>
    </row>
    <row r="98" ht="15.75" customHeight="1">
      <c r="Z98" s="11">
        <f>IFERROR(IF(Transactions!B100="Expense",Transactions!E100+ROW()/10000000,""),"")</f>
        <v>19.0000098</v>
      </c>
      <c r="AA98" s="31">
        <f>IFERROR(IF(Transactions!B100="Expense",Transactions!A100,""),"")</f>
        <v>46157</v>
      </c>
      <c r="AB98" s="11" t="str">
        <f>IFERROR(IF(Transactions!B100="Expense",Transactions!C100,""),"")</f>
        <v>Shopping</v>
      </c>
      <c r="AC98" s="11" t="str">
        <f>IFERROR(IF(Transactions!B100="Expense",Transactions!D100,""),"")</f>
        <v>Mustafa</v>
      </c>
      <c r="AD98" s="11">
        <f>IFERROR(IF(Transactions!B100="Expense",Transactions!E100,""),"")</f>
        <v>19</v>
      </c>
    </row>
    <row r="99" ht="15.75" customHeight="1">
      <c r="Z99" s="11">
        <f>IFERROR(IF(Transactions!B101="Expense",Transactions!E101+ROW()/10000000,""),"")</f>
        <v>31.5000099</v>
      </c>
      <c r="AA99" s="31">
        <f>IFERROR(IF(Transactions!B101="Expense",Transactions!A101,""),"")</f>
        <v>46157</v>
      </c>
      <c r="AB99" s="11" t="str">
        <f>IFERROR(IF(Transactions!B101="Expense",Transactions!C101,""),"")</f>
        <v>Travel</v>
      </c>
      <c r="AC99" s="11" t="str">
        <f>IFERROR(IF(Transactions!B101="Expense",Transactions!D101,""),"")</f>
        <v>KL Express train</v>
      </c>
      <c r="AD99" s="11">
        <f>IFERROR(IF(Transactions!B101="Expense",Transactions!E101,""),"")</f>
        <v>31.5</v>
      </c>
    </row>
    <row r="100" ht="15.75" customHeight="1">
      <c r="Z100" s="11">
        <f>IFERROR(IF(Transactions!B102="Expense",Transactions!E102+ROW()/10000000,""),"")</f>
        <v>16.00001</v>
      </c>
      <c r="AA100" s="31">
        <f>IFERROR(IF(Transactions!B102="Expense",Transactions!A102,""),"")</f>
        <v>46158</v>
      </c>
      <c r="AB100" s="11" t="str">
        <f>IFERROR(IF(Transactions!B102="Expense",Transactions!C102,""),"")</f>
        <v>Food</v>
      </c>
      <c r="AC100" s="11" t="str">
        <f>IFERROR(IF(Transactions!B102="Expense",Transactions!D102,""),"")</f>
        <v>Boost</v>
      </c>
      <c r="AD100" s="11">
        <f>IFERROR(IF(Transactions!B102="Expense",Transactions!E102,""),"")</f>
        <v>16</v>
      </c>
    </row>
    <row r="101" ht="15.75" customHeight="1">
      <c r="Z101" s="11">
        <f>IFERROR(IF(Transactions!B103="Expense",Transactions!E103+ROW()/10000000,""),"")</f>
        <v>13.9800101</v>
      </c>
      <c r="AA101" s="31">
        <f>IFERROR(IF(Transactions!B103="Expense",Transactions!A103,""),"")</f>
        <v>46160</v>
      </c>
      <c r="AB101" s="11" t="str">
        <f>IFERROR(IF(Transactions!B103="Expense",Transactions!C103,""),"")</f>
        <v>Subscription</v>
      </c>
      <c r="AC101" s="11" t="str">
        <f>IFERROR(IF(Transactions!B103="Expense",Transactions!D103,""),"")</f>
        <v>iCloud</v>
      </c>
      <c r="AD101" s="11">
        <f>IFERROR(IF(Transactions!B103="Expense",Transactions!E103,""),"")</f>
        <v>13.98</v>
      </c>
    </row>
    <row r="102" ht="15.75" customHeight="1">
      <c r="Z102" s="11">
        <f>IFERROR(IF(Transactions!B104="Expense",Transactions!E104+ROW()/10000000,""),"")</f>
        <v>31.2000102</v>
      </c>
      <c r="AA102" s="31">
        <f>IFERROR(IF(Transactions!B104="Expense",Transactions!A104,""),"")</f>
        <v>46160</v>
      </c>
      <c r="AB102" s="11" t="str">
        <f>IFERROR(IF(Transactions!B104="Expense",Transactions!C104,""),"")</f>
        <v>Travel</v>
      </c>
      <c r="AC102" s="11" t="str">
        <f>IFERROR(IF(Transactions!B104="Expense",Transactions!D104,""),"")</f>
        <v>KL Express train</v>
      </c>
      <c r="AD102" s="11">
        <f>IFERROR(IF(Transactions!B104="Expense",Transactions!E104,""),"")</f>
        <v>31.2</v>
      </c>
    </row>
    <row r="103" ht="15.75" customHeight="1">
      <c r="Z103" s="11">
        <f>IFERROR(IF(Transactions!B105="Expense",Transactions!E105+ROW()/10000000,""),"")</f>
        <v>6.1000103</v>
      </c>
      <c r="AA103" s="31">
        <f>IFERROR(IF(Transactions!B105="Expense",Transactions!A105,""),"")</f>
        <v>46161</v>
      </c>
      <c r="AB103" s="11" t="str">
        <f>IFERROR(IF(Transactions!B105="Expense",Transactions!C105,""),"")</f>
        <v>Food</v>
      </c>
      <c r="AC103" s="11" t="str">
        <f>IFERROR(IF(Transactions!B105="Expense",Transactions!D105,""),"")</f>
        <v>Chicken Rice</v>
      </c>
      <c r="AD103" s="11">
        <f>IFERROR(IF(Transactions!B105="Expense",Transactions!E105,""),"")</f>
        <v>6.1</v>
      </c>
    </row>
    <row r="104" ht="15.75" customHeight="1">
      <c r="Z104" s="11">
        <f>IFERROR(IF(Transactions!B106="Expense",Transactions!E106+ROW()/10000000,""),"")</f>
        <v>2.7000104</v>
      </c>
      <c r="AA104" s="31">
        <f>IFERROR(IF(Transactions!B106="Expense",Transactions!A106,""),"")</f>
        <v>46161</v>
      </c>
      <c r="AB104" s="11" t="str">
        <f>IFERROR(IF(Transactions!B106="Expense",Transactions!C106,""),"")</f>
        <v>Food</v>
      </c>
      <c r="AC104" s="11" t="str">
        <f>IFERROR(IF(Transactions!B106="Expense",Transactions!D106,""),"")</f>
        <v>Siew Mai</v>
      </c>
      <c r="AD104" s="11">
        <f>IFERROR(IF(Transactions!B106="Expense",Transactions!E106,""),"")</f>
        <v>2.7</v>
      </c>
    </row>
    <row r="105" ht="15.75" customHeight="1">
      <c r="Z105" s="11">
        <f>IFERROR(IF(Transactions!B107="Expense",Transactions!E107+ROW()/10000000,""),"")</f>
        <v>2.2600105</v>
      </c>
      <c r="AA105" s="31">
        <f>IFERROR(IF(Transactions!B107="Expense",Transactions!A107,""),"")</f>
        <v>46161</v>
      </c>
      <c r="AB105" s="11" t="str">
        <f>IFERROR(IF(Transactions!B107="Expense",Transactions!C107,""),"")</f>
        <v>Grocery</v>
      </c>
      <c r="AC105" s="11" t="str">
        <f>IFERROR(IF(Transactions!B107="Expense",Transactions!D107,""),"")</f>
        <v>Fairprice</v>
      </c>
      <c r="AD105" s="11">
        <f>IFERROR(IF(Transactions!B107="Expense",Transactions!E107,""),"")</f>
        <v>2.26</v>
      </c>
    </row>
    <row r="106" ht="15.75" customHeight="1">
      <c r="Z106" s="11">
        <f>IFERROR(IF(Transactions!B108="Expense",Transactions!E108+ROW()/10000000,""),"")</f>
        <v>8.3200106</v>
      </c>
      <c r="AA106" s="31">
        <f>IFERROR(IF(Transactions!B108="Expense",Transactions!A108,""),"")</f>
        <v>46161</v>
      </c>
      <c r="AB106" s="11" t="str">
        <f>IFERROR(IF(Transactions!B108="Expense",Transactions!C108,""),"")</f>
        <v>Shopping</v>
      </c>
      <c r="AC106" s="11" t="str">
        <f>IFERROR(IF(Transactions!B108="Expense",Transactions!D108,""),"")</f>
        <v>Keychain</v>
      </c>
      <c r="AD106" s="11">
        <f>IFERROR(IF(Transactions!B108="Expense",Transactions!E108,""),"")</f>
        <v>8.32</v>
      </c>
    </row>
    <row r="107" ht="15.75" customHeight="1">
      <c r="Z107" s="11" t="str">
        <f>IFERROR(IF(Transactions!B109="Expense",Transactions!E109+ROW()/10000000,""),"")</f>
        <v/>
      </c>
      <c r="AA107" s="31" t="str">
        <f>IFERROR(IF(Transactions!B109="Expense",Transactions!A109,""),"")</f>
        <v/>
      </c>
      <c r="AB107" s="11" t="str">
        <f>IFERROR(IF(Transactions!B109="Expense",Transactions!C109,""),"")</f>
        <v/>
      </c>
      <c r="AC107" s="11" t="str">
        <f>IFERROR(IF(Transactions!B109="Expense",Transactions!D109,""),"")</f>
        <v/>
      </c>
      <c r="AD107" s="11" t="str">
        <f>IFERROR(IF(Transactions!B109="Expense",Transactions!E109,""),"")</f>
        <v/>
      </c>
    </row>
    <row r="108" ht="15.75" customHeight="1">
      <c r="Z108" s="11">
        <f>IFERROR(IF(Transactions!B110="Expense",Transactions!E110+ROW()/10000000,""),"")</f>
        <v>12.7000108</v>
      </c>
      <c r="AA108" s="31">
        <f>IFERROR(IF(Transactions!B110="Expense",Transactions!A110,""),"")</f>
        <v>46158</v>
      </c>
      <c r="AB108" s="11" t="str">
        <f>IFERROR(IF(Transactions!B110="Expense",Transactions!C110,""),"")</f>
        <v>Shopping</v>
      </c>
      <c r="AC108" s="11" t="str">
        <f>IFERROR(IF(Transactions!B110="Expense",Transactions!D110,""),"")</f>
        <v>KL Shopping</v>
      </c>
      <c r="AD108" s="11">
        <f>IFERROR(IF(Transactions!B110="Expense",Transactions!E110,""),"")</f>
        <v>12.7</v>
      </c>
    </row>
    <row r="109" ht="15.75" customHeight="1">
      <c r="Z109" s="11">
        <f>IFERROR(IF(Transactions!B111="Expense",Transactions!E111+ROW()/10000000,""),"")</f>
        <v>3.9500109</v>
      </c>
      <c r="AA109" s="31">
        <f>IFERROR(IF(Transactions!B111="Expense",Transactions!A111,""),"")</f>
        <v>46158</v>
      </c>
      <c r="AB109" s="11" t="str">
        <f>IFERROR(IF(Transactions!B111="Expense",Transactions!C111,""),"")</f>
        <v>Shopping</v>
      </c>
      <c r="AC109" s="11" t="str">
        <f>IFERROR(IF(Transactions!B111="Expense",Transactions!D111,""),"")</f>
        <v>KL Shopping</v>
      </c>
      <c r="AD109" s="11">
        <f>IFERROR(IF(Transactions!B111="Expense",Transactions!E111,""),"")</f>
        <v>3.95</v>
      </c>
    </row>
    <row r="110" ht="15.75" customHeight="1">
      <c r="Z110" s="11">
        <f>IFERROR(IF(Transactions!B112="Expense",Transactions!E112+ROW()/10000000,""),"")</f>
        <v>6.620011</v>
      </c>
      <c r="AA110" s="31">
        <f>IFERROR(IF(Transactions!B112="Expense",Transactions!A112,""),"")</f>
        <v>46158</v>
      </c>
      <c r="AB110" s="11" t="str">
        <f>IFERROR(IF(Transactions!B112="Expense",Transactions!C112,""),"")</f>
        <v>Food</v>
      </c>
      <c r="AC110" s="11" t="str">
        <f>IFERROR(IF(Transactions!B112="Expense",Transactions!D112,""),"")</f>
        <v>KL Coffee</v>
      </c>
      <c r="AD110" s="11">
        <f>IFERROR(IF(Transactions!B112="Expense",Transactions!E112,""),"")</f>
        <v>6.62</v>
      </c>
    </row>
    <row r="111" ht="15.75" customHeight="1">
      <c r="Z111" s="11">
        <f>IFERROR(IF(Transactions!B113="Expense",Transactions!E113+ROW()/10000000,""),"")</f>
        <v>24.9300111</v>
      </c>
      <c r="AA111" s="31">
        <f>IFERROR(IF(Transactions!B113="Expense",Transactions!A113,""),"")</f>
        <v>46158</v>
      </c>
      <c r="AB111" s="11" t="str">
        <f>IFERROR(IF(Transactions!B113="Expense",Transactions!C113,""),"")</f>
        <v>Shopping</v>
      </c>
      <c r="AC111" s="11" t="str">
        <f>IFERROR(IF(Transactions!B113="Expense",Transactions!D113,""),"")</f>
        <v>KL Shopping</v>
      </c>
      <c r="AD111" s="11">
        <f>IFERROR(IF(Transactions!B113="Expense",Transactions!E113,""),"")</f>
        <v>24.93</v>
      </c>
    </row>
    <row r="112" ht="15.75" customHeight="1">
      <c r="Z112" s="11">
        <f>IFERROR(IF(Transactions!B114="Expense",Transactions!E114+ROW()/10000000,""),"")</f>
        <v>39.2300112</v>
      </c>
      <c r="AA112" s="31">
        <f>IFERROR(IF(Transactions!B114="Expense",Transactions!A114,""),"")</f>
        <v>46158</v>
      </c>
      <c r="AB112" s="11" t="str">
        <f>IFERROR(IF(Transactions!B114="Expense",Transactions!C114,""),"")</f>
        <v>Shopping</v>
      </c>
      <c r="AC112" s="11" t="str">
        <f>IFERROR(IF(Transactions!B114="Expense",Transactions!D114,""),"")</f>
        <v>KL Shopping</v>
      </c>
      <c r="AD112" s="11">
        <f>IFERROR(IF(Transactions!B114="Expense",Transactions!E114,""),"")</f>
        <v>39.23</v>
      </c>
    </row>
    <row r="113" ht="15.75" customHeight="1">
      <c r="Z113" s="11">
        <f>IFERROR(IF(Transactions!B115="Expense",Transactions!E115+ROW()/10000000,""),"")</f>
        <v>74.8100113</v>
      </c>
      <c r="AA113" s="31">
        <f>IFERROR(IF(Transactions!B115="Expense",Transactions!A115,""),"")</f>
        <v>46158</v>
      </c>
      <c r="AB113" s="11" t="str">
        <f>IFERROR(IF(Transactions!B115="Expense",Transactions!C115,""),"")</f>
        <v>Food</v>
      </c>
      <c r="AC113" s="11" t="str">
        <f>IFERROR(IF(Transactions!B115="Expense",Transactions!D115,""),"")</f>
        <v>KL Sushiro</v>
      </c>
      <c r="AD113" s="11">
        <f>IFERROR(IF(Transactions!B115="Expense",Transactions!E115,""),"")</f>
        <v>74.81</v>
      </c>
    </row>
    <row r="114" ht="15.75" customHeight="1">
      <c r="Z114" s="11">
        <f>IFERROR(IF(Transactions!B116="Expense",Transactions!E116+ROW()/10000000,""),"")</f>
        <v>199.4500114</v>
      </c>
      <c r="AA114" s="31">
        <f>IFERROR(IF(Transactions!B116="Expense",Transactions!A116,""),"")</f>
        <v>46158</v>
      </c>
      <c r="AB114" s="11" t="str">
        <f>IFERROR(IF(Transactions!B116="Expense",Transactions!C116,""),"")</f>
        <v>Travel</v>
      </c>
      <c r="AC114" s="11" t="str">
        <f>IFERROR(IF(Transactions!B116="Expense",Transactions!D116,""),"")</f>
        <v>KL Grand Hyatt Deposit</v>
      </c>
      <c r="AD114" s="11">
        <f>IFERROR(IF(Transactions!B116="Expense",Transactions!E116,""),"")</f>
        <v>199.45</v>
      </c>
    </row>
    <row r="115" ht="15.75" customHeight="1">
      <c r="Z115" s="11">
        <f>IFERROR(IF(Transactions!B117="Expense",Transactions!E117+ROW()/10000000,""),"")</f>
        <v>1.8000115</v>
      </c>
      <c r="AA115" s="31">
        <f>IFERROR(IF(Transactions!B117="Expense",Transactions!A117,""),"")</f>
        <v>46158</v>
      </c>
      <c r="AB115" s="11" t="str">
        <f>IFERROR(IF(Transactions!B117="Expense",Transactions!C117,""),"")</f>
        <v>Travel</v>
      </c>
      <c r="AC115" s="11" t="str">
        <f>IFERROR(IF(Transactions!B117="Expense",Transactions!D117,""),"")</f>
        <v>KL Monorail</v>
      </c>
      <c r="AD115" s="11">
        <f>IFERROR(IF(Transactions!B117="Expense",Transactions!E117,""),"")</f>
        <v>1.8</v>
      </c>
    </row>
    <row r="116" ht="15.75" customHeight="1">
      <c r="Z116" s="11">
        <f>IFERROR(IF(Transactions!B118="Expense",Transactions!E118+ROW()/10000000,""),"")</f>
        <v>4.9900116</v>
      </c>
      <c r="AA116" s="31">
        <f>IFERROR(IF(Transactions!B118="Expense",Transactions!A118,""),"")</f>
        <v>46159</v>
      </c>
      <c r="AB116" s="11" t="str">
        <f>IFERROR(IF(Transactions!B118="Expense",Transactions!C118,""),"")</f>
        <v>Subscription</v>
      </c>
      <c r="AC116" s="11" t="str">
        <f>IFERROR(IF(Transactions!B118="Expense",Transactions!D118,""),"")</f>
        <v>Prime</v>
      </c>
      <c r="AD116" s="11">
        <f>IFERROR(IF(Transactions!B118="Expense",Transactions!E118,""),"")</f>
        <v>4.99</v>
      </c>
    </row>
    <row r="117" ht="15.75" customHeight="1">
      <c r="Z117" s="11">
        <f>IFERROR(IF(Transactions!B119="Expense",Transactions!E119+ROW()/10000000,""),"")</f>
        <v>4.2600117</v>
      </c>
      <c r="AA117" s="31">
        <f>IFERROR(IF(Transactions!B119="Expense",Transactions!A119,""),"")</f>
        <v>46159</v>
      </c>
      <c r="AB117" s="11" t="str">
        <f>IFERROR(IF(Transactions!B119="Expense",Transactions!C119,""),"")</f>
        <v>Food</v>
      </c>
      <c r="AC117" s="11" t="str">
        <f>IFERROR(IF(Transactions!B119="Expense",Transactions!D119,""),"")</f>
        <v>KL Sushi</v>
      </c>
      <c r="AD117" s="11">
        <f>IFERROR(IF(Transactions!B119="Expense",Transactions!E119,""),"")</f>
        <v>4.26</v>
      </c>
    </row>
    <row r="118" ht="15.75" customHeight="1">
      <c r="Z118" s="11">
        <f>IFERROR(IF(Transactions!B120="Expense",Transactions!E120+ROW()/10000000,""),"")</f>
        <v>49.9300118</v>
      </c>
      <c r="AA118" s="31">
        <f>IFERROR(IF(Transactions!B120="Expense",Transactions!A120,""),"")</f>
        <v>46159</v>
      </c>
      <c r="AB118" s="11" t="str">
        <f>IFERROR(IF(Transactions!B120="Expense",Transactions!C120,""),"")</f>
        <v>Shopping</v>
      </c>
      <c r="AC118" s="11" t="str">
        <f>IFERROR(IF(Transactions!B120="Expense",Transactions!D120,""),"")</f>
        <v>KL Uniqlo</v>
      </c>
      <c r="AD118" s="11">
        <f>IFERROR(IF(Transactions!B120="Expense",Transactions!E120,""),"")</f>
        <v>49.93</v>
      </c>
    </row>
    <row r="119" ht="15.75" customHeight="1">
      <c r="Z119" s="11">
        <f>IFERROR(IF(Transactions!B121="Expense",Transactions!E121+ROW()/10000000,""),"")</f>
        <v>4.3600119</v>
      </c>
      <c r="AA119" s="31">
        <f>IFERROR(IF(Transactions!B121="Expense",Transactions!A121,""),"")</f>
        <v>46159</v>
      </c>
      <c r="AB119" s="11" t="str">
        <f>IFERROR(IF(Transactions!B121="Expense",Transactions!C121,""),"")</f>
        <v>Food</v>
      </c>
      <c r="AC119" s="11" t="str">
        <f>IFERROR(IF(Transactions!B121="Expense",Transactions!D121,""),"")</f>
        <v>KL Coffee</v>
      </c>
      <c r="AD119" s="11">
        <f>IFERROR(IF(Transactions!B121="Expense",Transactions!E121,""),"")</f>
        <v>4.36</v>
      </c>
    </row>
    <row r="120" ht="15.75" customHeight="1">
      <c r="Z120" s="11">
        <f>IFERROR(IF(Transactions!B122="Expense",Transactions!E122+ROW()/10000000,""),"")</f>
        <v>10.240012</v>
      </c>
      <c r="AA120" s="31">
        <f>IFERROR(IF(Transactions!B122="Expense",Transactions!A122,""),"")</f>
        <v>46159</v>
      </c>
      <c r="AB120" s="11" t="str">
        <f>IFERROR(IF(Transactions!B122="Expense",Transactions!C122,""),"")</f>
        <v>Food</v>
      </c>
      <c r="AC120" s="11" t="str">
        <f>IFERROR(IF(Transactions!B122="Expense",Transactions!D122,""),"")</f>
        <v>KL Bakery</v>
      </c>
      <c r="AD120" s="11">
        <f>IFERROR(IF(Transactions!B122="Expense",Transactions!E122,""),"")</f>
        <v>10.24</v>
      </c>
    </row>
    <row r="121" ht="15.75" customHeight="1">
      <c r="Z121" s="11">
        <f>IFERROR(IF(Transactions!B123="Expense",Transactions!E123+ROW()/10000000,""),"")</f>
        <v>36.0000121</v>
      </c>
      <c r="AA121" s="31">
        <f>IFERROR(IF(Transactions!B123="Expense",Transactions!A123,""),"")</f>
        <v>46159</v>
      </c>
      <c r="AB121" s="11" t="str">
        <f>IFERROR(IF(Transactions!B123="Expense",Transactions!C123,""),"")</f>
        <v>Transport</v>
      </c>
      <c r="AC121" s="11" t="str">
        <f>IFERROR(IF(Transactions!B123="Expense",Transactions!D123,""),"")</f>
        <v>KL Grab</v>
      </c>
      <c r="AD121" s="11">
        <f>IFERROR(IF(Transactions!B123="Expense",Transactions!E123,""),"")</f>
        <v>36</v>
      </c>
    </row>
    <row r="122" ht="15.75" customHeight="1">
      <c r="Z122" s="11">
        <f>IFERROR(IF(Transactions!B124="Expense",Transactions!E124+ROW()/10000000,""),"")</f>
        <v>10.2400122</v>
      </c>
      <c r="AA122" s="31">
        <f>IFERROR(IF(Transactions!B124="Expense",Transactions!A124,""),"")</f>
        <v>46159</v>
      </c>
      <c r="AB122" s="11" t="str">
        <f>IFERROR(IF(Transactions!B124="Expense",Transactions!C124,""),"")</f>
        <v>Shopping</v>
      </c>
      <c r="AC122" s="11" t="str">
        <f>IFERROR(IF(Transactions!B124="Expense",Transactions!D124,""),"")</f>
        <v>KL Shopping</v>
      </c>
      <c r="AD122" s="11">
        <f>IFERROR(IF(Transactions!B124="Expense",Transactions!E124,""),"")</f>
        <v>10.24</v>
      </c>
    </row>
    <row r="123" ht="15.75" customHeight="1">
      <c r="Z123" s="11">
        <f>IFERROR(IF(Transactions!B125="Expense",Transactions!E125+ROW()/10000000,""),"")</f>
        <v>116.4100123</v>
      </c>
      <c r="AA123" s="31">
        <f>IFERROR(IF(Transactions!B125="Expense",Transactions!A125,""),"")</f>
        <v>46159</v>
      </c>
      <c r="AB123" s="11" t="str">
        <f>IFERROR(IF(Transactions!B125="Expense",Transactions!C125,""),"")</f>
        <v>Shopping</v>
      </c>
      <c r="AC123" s="11" t="str">
        <f>IFERROR(IF(Transactions!B125="Expense",Transactions!D125,""),"")</f>
        <v>KL Shopping</v>
      </c>
      <c r="AD123" s="11">
        <f>IFERROR(IF(Transactions!B125="Expense",Transactions!E125,""),"")</f>
        <v>116.41</v>
      </c>
    </row>
    <row r="124" ht="15.75" customHeight="1">
      <c r="Z124" s="11">
        <f>IFERROR(IF(Transactions!B126="Expense",Transactions!E126+ROW()/10000000,""),"")</f>
        <v>23.5300124</v>
      </c>
      <c r="AA124" s="31">
        <f>IFERROR(IF(Transactions!B126="Expense",Transactions!A126,""),"")</f>
        <v>46160</v>
      </c>
      <c r="AB124" s="11" t="str">
        <f>IFERROR(IF(Transactions!B126="Expense",Transactions!C126,""),"")</f>
        <v>Food</v>
      </c>
      <c r="AC124" s="11" t="str">
        <f>IFERROR(IF(Transactions!B126="Expense",Transactions!D126,""),"")</f>
        <v>KL Coffee</v>
      </c>
      <c r="AD124" s="11">
        <f>IFERROR(IF(Transactions!B126="Expense",Transactions!E126,""),"")</f>
        <v>23.53</v>
      </c>
    </row>
    <row r="125" ht="15.75" customHeight="1">
      <c r="Z125" s="11" t="str">
        <f>IFERROR(IF(Transactions!B127="Expense",Transactions!E127+ROW()/10000000,""),"")</f>
        <v/>
      </c>
      <c r="AA125" s="31" t="str">
        <f>IFERROR(IF(Transactions!B127="Expense",Transactions!A127,""),"")</f>
        <v/>
      </c>
      <c r="AB125" s="11" t="str">
        <f>IFERROR(IF(Transactions!B127="Expense",Transactions!C127,""),"")</f>
        <v/>
      </c>
      <c r="AC125" s="11" t="str">
        <f>IFERROR(IF(Transactions!B127="Expense",Transactions!D127,""),"")</f>
        <v/>
      </c>
      <c r="AD125" s="11" t="str">
        <f>IFERROR(IF(Transactions!B127="Expense",Transactions!E127,""),"")</f>
        <v/>
      </c>
    </row>
    <row r="126" ht="15.75" customHeight="1">
      <c r="Z126" s="11">
        <f>IFERROR(IF(Transactions!B128="Expense",Transactions!E128+ROW()/10000000,""),"")</f>
        <v>36.0000126</v>
      </c>
      <c r="AA126" s="31">
        <f>IFERROR(IF(Transactions!B128="Expense",Transactions!A128,""),"")</f>
        <v>46163</v>
      </c>
      <c r="AB126" s="11" t="str">
        <f>IFERROR(IF(Transactions!B128="Expense",Transactions!C128,""),"")</f>
        <v>Entertainment</v>
      </c>
      <c r="AC126" s="11" t="str">
        <f>IFERROR(IF(Transactions!B128="Expense",Transactions!D128,""),"")</f>
        <v>Drishyam 3 movie</v>
      </c>
      <c r="AD126" s="11">
        <f>IFERROR(IF(Transactions!B128="Expense",Transactions!E128,""),"")</f>
        <v>36</v>
      </c>
    </row>
    <row r="127" ht="15.75" customHeight="1">
      <c r="Z127" s="11">
        <f>IFERROR(IF(Transactions!B129="Expense",Transactions!E129+ROW()/10000000,""),"")</f>
        <v>46.0000127</v>
      </c>
      <c r="AA127" s="31">
        <f>IFERROR(IF(Transactions!B129="Expense",Transactions!A129,""),"")</f>
        <v>46166</v>
      </c>
      <c r="AB127" s="11" t="str">
        <f>IFERROR(IF(Transactions!B129="Expense",Transactions!C129,""),"")</f>
        <v>Entertainment</v>
      </c>
      <c r="AC127" s="11" t="str">
        <f>IFERROR(IF(Transactions!B129="Expense",Transactions!D129,""),"")</f>
        <v>Karrupu Movie + Lunch</v>
      </c>
      <c r="AD127" s="11">
        <f>IFERROR(IF(Transactions!B129="Expense",Transactions!E129,""),"")</f>
        <v>46</v>
      </c>
    </row>
    <row r="128" ht="15.75" customHeight="1">
      <c r="Z128" s="11">
        <f>IFERROR(IF(Transactions!B130="Expense",Transactions!E130+ROW()/10000000,""),"")</f>
        <v>2.0000128</v>
      </c>
      <c r="AA128" s="31">
        <f>IFERROR(IF(Transactions!B130="Expense",Transactions!A130,""),"")</f>
        <v>46167</v>
      </c>
      <c r="AB128" s="11" t="str">
        <f>IFERROR(IF(Transactions!B130="Expense",Transactions!C130,""),"")</f>
        <v>Misc</v>
      </c>
      <c r="AC128" s="11" t="str">
        <f>IFERROR(IF(Transactions!B130="Expense",Transactions!D130,""),"")</f>
        <v>Toto</v>
      </c>
      <c r="AD128" s="11">
        <f>IFERROR(IF(Transactions!B130="Expense",Transactions!E130,""),"")</f>
        <v>2</v>
      </c>
    </row>
    <row r="129" ht="15.75" customHeight="1">
      <c r="Z129" s="11">
        <f>IFERROR(IF(Transactions!B131="Expense",Transactions!E131+ROW()/10000000,""),"")</f>
        <v>5.9000129</v>
      </c>
      <c r="AA129" s="31">
        <f>IFERROR(IF(Transactions!B131="Expense",Transactions!A131,""),"")</f>
        <v>46169</v>
      </c>
      <c r="AB129" s="11" t="str">
        <f>IFERROR(IF(Transactions!B131="Expense",Transactions!C131,""),"")</f>
        <v>Food</v>
      </c>
      <c r="AC129" s="11" t="str">
        <f>IFERROR(IF(Transactions!B131="Expense",Transactions!D131,""),"")</f>
        <v>Coffee</v>
      </c>
      <c r="AD129" s="11">
        <f>IFERROR(IF(Transactions!B131="Expense",Transactions!E131,""),"")</f>
        <v>5.9</v>
      </c>
    </row>
    <row r="130" ht="15.75" customHeight="1">
      <c r="Z130" s="11" t="str">
        <f>IFERROR(IF(Transactions!B132="Expense",Transactions!E132+ROW()/10000000,""),"")</f>
        <v/>
      </c>
      <c r="AA130" s="31" t="str">
        <f>IFERROR(IF(Transactions!B132="Expense",Transactions!A132,""),"")</f>
        <v/>
      </c>
      <c r="AB130" s="11" t="str">
        <f>IFERROR(IF(Transactions!B132="Expense",Transactions!C132,""),"")</f>
        <v/>
      </c>
      <c r="AC130" s="11" t="str">
        <f>IFERROR(IF(Transactions!B132="Expense",Transactions!D132,""),"")</f>
        <v/>
      </c>
      <c r="AD130" s="11" t="str">
        <f>IFERROR(IF(Transactions!B132="Expense",Transactions!E132,""),"")</f>
        <v/>
      </c>
    </row>
    <row r="131" ht="15.75" customHeight="1">
      <c r="Z131" s="11">
        <f>IFERROR(IF(Transactions!B133="Expense",Transactions!E133+ROW()/10000000,""),"")</f>
        <v>35.0000131</v>
      </c>
      <c r="AA131" s="31">
        <f>IFERROR(IF(Transactions!B133="Expense",Transactions!A133,""),"")</f>
        <v>46172</v>
      </c>
      <c r="AB131" s="11" t="str">
        <f>IFERROR(IF(Transactions!B133="Expense",Transactions!C133,""),"")</f>
        <v>Transport</v>
      </c>
      <c r="AC131" s="11" t="str">
        <f>IFERROR(IF(Transactions!B133="Expense",Transactions!D133,""),"")</f>
        <v>Grab Taxi</v>
      </c>
      <c r="AD131" s="11">
        <f>IFERROR(IF(Transactions!B133="Expense",Transactions!E133,""),"")</f>
        <v>35</v>
      </c>
    </row>
    <row r="132" ht="15.75" customHeight="1">
      <c r="Z132" s="11">
        <f>IFERROR(IF(Transactions!B134="Expense",Transactions!E134+ROW()/10000000,""),"")</f>
        <v>8.8800132</v>
      </c>
      <c r="AA132" s="31">
        <f>IFERROR(IF(Transactions!B134="Expense",Transactions!A134,""),"")</f>
        <v>46170</v>
      </c>
      <c r="AB132" s="11" t="str">
        <f>IFERROR(IF(Transactions!B134="Expense",Transactions!C134,""),"")</f>
        <v>Education</v>
      </c>
      <c r="AC132" s="11" t="str">
        <f>IFERROR(IF(Transactions!B134="Expense",Transactions!D134,""),"")</f>
        <v>Tribe Java</v>
      </c>
      <c r="AD132" s="11">
        <f>IFERROR(IF(Transactions!B134="Expense",Transactions!E134,""),"")</f>
        <v>8.88</v>
      </c>
    </row>
    <row r="133" ht="15.75" customHeight="1">
      <c r="Z133" s="11">
        <f>IFERROR(IF(Transactions!B135="Expense",Transactions!E135+ROW()/10000000,""),"")</f>
        <v>11.7000133</v>
      </c>
      <c r="AA133" s="31">
        <f>IFERROR(IF(Transactions!B135="Expense",Transactions!A135,""),"")</f>
        <v>46168</v>
      </c>
      <c r="AB133" s="11" t="str">
        <f>IFERROR(IF(Transactions!B135="Expense",Transactions!C135,""),"")</f>
        <v>Food</v>
      </c>
      <c r="AC133" s="11" t="str">
        <f>IFERROR(IF(Transactions!B135="Expense",Transactions!D135,""),"")</f>
        <v>Lava Cake</v>
      </c>
      <c r="AD133" s="11">
        <f>IFERROR(IF(Transactions!B135="Expense",Transactions!E135,""),"")</f>
        <v>11.7</v>
      </c>
    </row>
    <row r="134" ht="15.75" customHeight="1">
      <c r="Z134" s="11">
        <f>IFERROR(IF(Transactions!B136="Expense",Transactions!E136+ROW()/10000000,""),"")</f>
        <v>1000.000013</v>
      </c>
      <c r="AA134" s="31">
        <f>IFERROR(IF(Transactions!B136="Expense",Transactions!A136,""),"")</f>
        <v>46170</v>
      </c>
      <c r="AB134" s="11" t="str">
        <f>IFERROR(IF(Transactions!B136="Expense",Transactions!C136,""),"")</f>
        <v>Family</v>
      </c>
      <c r="AC134" s="11" t="str">
        <f>IFERROR(IF(Transactions!B136="Expense",Transactions!D136,""),"")</f>
        <v>Transfer to Parents</v>
      </c>
      <c r="AD134" s="11">
        <f>IFERROR(IF(Transactions!B136="Expense",Transactions!E136,""),"")</f>
        <v>1000</v>
      </c>
    </row>
    <row r="135" ht="15.75" customHeight="1">
      <c r="Z135" s="11">
        <f>IFERROR(IF(Transactions!B137="Expense",Transactions!E137+ROW()/10000000,""),"")</f>
        <v>25.6100135</v>
      </c>
      <c r="AA135" s="31">
        <f>IFERROR(IF(Transactions!B137="Expense",Transactions!A137,""),"")</f>
        <v>46169</v>
      </c>
      <c r="AB135" s="11" t="str">
        <f>IFERROR(IF(Transactions!B137="Expense",Transactions!C137,""),"")</f>
        <v>Grocery</v>
      </c>
      <c r="AC135" s="11" t="str">
        <f>IFERROR(IF(Transactions!B137="Expense",Transactions!D137,""),"")</f>
        <v>Light Bulb</v>
      </c>
      <c r="AD135" s="11">
        <f>IFERROR(IF(Transactions!B137="Expense",Transactions!E137,""),"")</f>
        <v>25.61</v>
      </c>
    </row>
    <row r="136" ht="15.75" customHeight="1">
      <c r="Z136" s="11">
        <f>IFERROR(IF(Transactions!B138="Expense",Transactions!E138+ROW()/10000000,""),"")</f>
        <v>12.0000136</v>
      </c>
      <c r="AA136" s="31">
        <f>IFERROR(IF(Transactions!B138="Expense",Transactions!A138,""),"")</f>
        <v>46169</v>
      </c>
      <c r="AB136" s="11" t="str">
        <f>IFERROR(IF(Transactions!B138="Expense",Transactions!C138,""),"")</f>
        <v>Subscription</v>
      </c>
      <c r="AC136" s="11" t="str">
        <f>IFERROR(IF(Transactions!B138="Expense",Transactions!D138,""),"")</f>
        <v>Phone Bill</v>
      </c>
      <c r="AD136" s="11">
        <f>IFERROR(IF(Transactions!B138="Expense",Transactions!E138,""),"")</f>
        <v>12</v>
      </c>
    </row>
    <row r="137" ht="15.75" customHeight="1">
      <c r="Z137" s="11">
        <f>IFERROR(IF(Transactions!B139="Expense",Transactions!E139+ROW()/10000000,""),"")</f>
        <v>16.2000137</v>
      </c>
      <c r="AA137" s="31">
        <f>IFERROR(IF(Transactions!B139="Expense",Transactions!A139,""),"")</f>
        <v>46163</v>
      </c>
      <c r="AB137" s="11" t="str">
        <f>IFERROR(IF(Transactions!B139="Expense",Transactions!C139,""),"")</f>
        <v>Grocery</v>
      </c>
      <c r="AC137" s="11" t="str">
        <f>IFERROR(IF(Transactions!B139="Expense",Transactions!D139,""),"")</f>
        <v>Fairprice</v>
      </c>
      <c r="AD137" s="11">
        <f>IFERROR(IF(Transactions!B139="Expense",Transactions!E139,""),"")</f>
        <v>16.2</v>
      </c>
    </row>
    <row r="138" ht="15.75" customHeight="1">
      <c r="Z138" s="11">
        <f>IFERROR(IF(Transactions!B140="Expense",Transactions!E140+ROW()/10000000,""),"")</f>
        <v>26.0000138</v>
      </c>
      <c r="AA138" s="31">
        <f>IFERROR(IF(Transactions!B140="Expense",Transactions!A140,""),"")</f>
        <v>46164</v>
      </c>
      <c r="AB138" s="11" t="str">
        <f>IFERROR(IF(Transactions!B140="Expense",Transactions!C140,""),"")</f>
        <v>Food</v>
      </c>
      <c r="AC138" s="11" t="str">
        <f>IFERROR(IF(Transactions!B140="Expense",Transactions!D140,""),"")</f>
        <v>Popcorn</v>
      </c>
      <c r="AD138" s="11">
        <f>IFERROR(IF(Transactions!B140="Expense",Transactions!E140,""),"")</f>
        <v>26</v>
      </c>
    </row>
    <row r="139" ht="15.75" customHeight="1">
      <c r="Z139" s="11">
        <f>IFERROR(IF(Transactions!B141="Expense",Transactions!E141+ROW()/10000000,""),"")</f>
        <v>15.5000139</v>
      </c>
      <c r="AA139" s="31">
        <f>IFERROR(IF(Transactions!B141="Expense",Transactions!A141,""),"")</f>
        <v>46165</v>
      </c>
      <c r="AB139" s="11" t="str">
        <f>IFERROR(IF(Transactions!B141="Expense",Transactions!C141,""),"")</f>
        <v>Food</v>
      </c>
      <c r="AC139" s="11" t="str">
        <f>IFERROR(IF(Transactions!B141="Expense",Transactions!D141,""),"")</f>
        <v>Mcd</v>
      </c>
      <c r="AD139" s="11">
        <f>IFERROR(IF(Transactions!B141="Expense",Transactions!E141,""),"")</f>
        <v>15.5</v>
      </c>
    </row>
    <row r="140" ht="15.75" customHeight="1">
      <c r="Z140" s="11">
        <f>IFERROR(IF(Transactions!B142="Expense",Transactions!E142+ROW()/10000000,""),"")</f>
        <v>54.450014</v>
      </c>
      <c r="AA140" s="31">
        <f>IFERROR(IF(Transactions!B142="Expense",Transactions!A142,""),"")</f>
        <v>46165</v>
      </c>
      <c r="AB140" s="11" t="str">
        <f>IFERROR(IF(Transactions!B142="Expense",Transactions!C142,""),"")</f>
        <v>Food</v>
      </c>
      <c r="AC140" s="11" t="str">
        <f>IFERROR(IF(Transactions!B142="Expense",Transactions!D142,""),"")</f>
        <v>Genki</v>
      </c>
      <c r="AD140" s="11">
        <f>IFERROR(IF(Transactions!B142="Expense",Transactions!E142,""),"")</f>
        <v>54.45</v>
      </c>
    </row>
    <row r="141" ht="15.75" customHeight="1">
      <c r="Z141" s="11">
        <f>IFERROR(IF(Transactions!B143="Expense",Transactions!E143+ROW()/10000000,""),"")</f>
        <v>7.5000141</v>
      </c>
      <c r="AA141" s="31">
        <f>IFERROR(IF(Transactions!B143="Expense",Transactions!A143,""),"")</f>
        <v>46166</v>
      </c>
      <c r="AB141" s="11" t="str">
        <f>IFERROR(IF(Transactions!B143="Expense",Transactions!C143,""),"")</f>
        <v>Food</v>
      </c>
      <c r="AC141" s="11" t="str">
        <f>IFERROR(IF(Transactions!B143="Expense",Transactions!D143,""),"")</f>
        <v>Popcorn</v>
      </c>
      <c r="AD141" s="11">
        <f>IFERROR(IF(Transactions!B143="Expense",Transactions!E143,""),"")</f>
        <v>7.5</v>
      </c>
    </row>
    <row r="142" ht="15.75" customHeight="1">
      <c r="Z142" s="11">
        <f>IFERROR(IF(Transactions!B144="Expense",Transactions!E144+ROW()/10000000,""),"")</f>
        <v>32.9600142</v>
      </c>
      <c r="AA142" s="31">
        <f>IFERROR(IF(Transactions!B144="Expense",Transactions!A144,""),"")</f>
        <v>46166</v>
      </c>
      <c r="AB142" s="11" t="str">
        <f>IFERROR(IF(Transactions!B144="Expense",Transactions!C144,""),"")</f>
        <v>Grocery</v>
      </c>
      <c r="AC142" s="11" t="str">
        <f>IFERROR(IF(Transactions!B144="Expense",Transactions!D144,""),"")</f>
        <v>Fairprice</v>
      </c>
      <c r="AD142" s="11">
        <f>IFERROR(IF(Transactions!B144="Expense",Transactions!E144,""),"")</f>
        <v>32.96</v>
      </c>
    </row>
    <row r="143" ht="15.75" customHeight="1">
      <c r="Z143" s="11">
        <f>IFERROR(IF(Transactions!B145="Expense",Transactions!E145+ROW()/10000000,""),"")</f>
        <v>17.9800143</v>
      </c>
      <c r="AA143" s="31">
        <f>IFERROR(IF(Transactions!B145="Expense",Transactions!A145,""),"")</f>
        <v>46168</v>
      </c>
      <c r="AB143" s="11" t="str">
        <f>IFERROR(IF(Transactions!B145="Expense",Transactions!C145,""),"")</f>
        <v>Subscription</v>
      </c>
      <c r="AC143" s="11" t="str">
        <f>IFERROR(IF(Transactions!B145="Expense",Transactions!D145,""),"")</f>
        <v>Youtube</v>
      </c>
      <c r="AD143" s="11">
        <f>IFERROR(IF(Transactions!B145="Expense",Transactions!E145,""),"")</f>
        <v>17.98</v>
      </c>
    </row>
    <row r="144" ht="15.75" customHeight="1">
      <c r="Z144" s="11">
        <f>IFERROR(IF(Transactions!B146="Expense",Transactions!E146+ROW()/10000000,""),"")</f>
        <v>7.8000144</v>
      </c>
      <c r="AA144" s="31">
        <f>IFERROR(IF(Transactions!B146="Expense",Transactions!A146,""),"")</f>
        <v>46168</v>
      </c>
      <c r="AB144" s="11" t="str">
        <f>IFERROR(IF(Transactions!B146="Expense",Transactions!C146,""),"")</f>
        <v>Food</v>
      </c>
      <c r="AC144" s="11" t="str">
        <f>IFERROR(IF(Transactions!B146="Expense",Transactions!D146,""),"")</f>
        <v>Chicken Rice</v>
      </c>
      <c r="AD144" s="11">
        <f>IFERROR(IF(Transactions!B146="Expense",Transactions!E146,""),"")</f>
        <v>7.8</v>
      </c>
    </row>
    <row r="145" ht="15.75" customHeight="1">
      <c r="Z145" s="11">
        <f>IFERROR(IF(Transactions!B147="Expense",Transactions!E147+ROW()/10000000,""),"")</f>
        <v>9.4700145</v>
      </c>
      <c r="AA145" s="31">
        <f>IFERROR(IF(Transactions!B147="Expense",Transactions!A147,""),"")</f>
        <v>46170</v>
      </c>
      <c r="AB145" s="11" t="str">
        <f>IFERROR(IF(Transactions!B147="Expense",Transactions!C147,""),"")</f>
        <v>Grocery</v>
      </c>
      <c r="AC145" s="11" t="str">
        <f>IFERROR(IF(Transactions!B147="Expense",Transactions!D147,""),"")</f>
        <v>Fairprice</v>
      </c>
      <c r="AD145" s="11">
        <f>IFERROR(IF(Transactions!B147="Expense",Transactions!E147,""),"")</f>
        <v>9.47</v>
      </c>
    </row>
    <row r="146" ht="15.75" customHeight="1">
      <c r="Z146" s="11">
        <f>IFERROR(IF(Transactions!B148="Expense",Transactions!E148+ROW()/10000000,""),"")</f>
        <v>16.5500146</v>
      </c>
      <c r="AA146" s="31">
        <f>IFERROR(IF(Transactions!B148="Expense",Transactions!A148,""),"")</f>
        <v>46171</v>
      </c>
      <c r="AB146" s="11" t="str">
        <f>IFERROR(IF(Transactions!B148="Expense",Transactions!C148,""),"")</f>
        <v>Food</v>
      </c>
      <c r="AC146" s="11" t="str">
        <f>IFERROR(IF(Transactions!B148="Expense",Transactions!D148,""),"")</f>
        <v>Mcd</v>
      </c>
      <c r="AD146" s="11">
        <f>IFERROR(IF(Transactions!B148="Expense",Transactions!E148,""),"")</f>
        <v>16.55</v>
      </c>
    </row>
    <row r="147" ht="15.75" customHeight="1">
      <c r="Z147" s="11">
        <f>IFERROR(IF(Transactions!B149="Expense",Transactions!E149+ROW()/10000000,""),"")</f>
        <v>5.8000147</v>
      </c>
      <c r="AA147" s="31">
        <f>IFERROR(IF(Transactions!B149="Expense",Transactions!A149,""),"")</f>
        <v>46171</v>
      </c>
      <c r="AB147" s="11" t="str">
        <f>IFERROR(IF(Transactions!B149="Expense",Transactions!C149,""),"")</f>
        <v>Food</v>
      </c>
      <c r="AC147" s="11" t="str">
        <f>IFERROR(IF(Transactions!B149="Expense",Transactions!D149,""),"")</f>
        <v>Citi Cafe</v>
      </c>
      <c r="AD147" s="11">
        <f>IFERROR(IF(Transactions!B149="Expense",Transactions!E149,""),"")</f>
        <v>5.8</v>
      </c>
    </row>
    <row r="148" ht="15.75" customHeight="1">
      <c r="Z148" s="11">
        <f>IFERROR(IF(Transactions!B150="Expense",Transactions!E150+ROW()/10000000,""),"")</f>
        <v>30.0900148</v>
      </c>
      <c r="AA148" s="31">
        <f>IFERROR(IF(Transactions!B150="Expense",Transactions!A150,""),"")</f>
        <v>46173</v>
      </c>
      <c r="AB148" s="11" t="str">
        <f>IFERROR(IF(Transactions!B150="Expense",Transactions!C150,""),"")</f>
        <v>Grocery</v>
      </c>
      <c r="AC148" s="11" t="str">
        <f>IFERROR(IF(Transactions!B150="Expense",Transactions!D150,""),"")</f>
        <v>Fairprice</v>
      </c>
      <c r="AD148" s="11">
        <f>IFERROR(IF(Transactions!B150="Expense",Transactions!E150,""),"")</f>
        <v>30.09</v>
      </c>
    </row>
    <row r="149" ht="15.75" customHeight="1">
      <c r="Z149" s="11" t="str">
        <f>IFERROR(IF(Transactions!B151="Expense",Transactions!E151+ROW()/10000000,""),"")</f>
        <v/>
      </c>
      <c r="AA149" s="31" t="str">
        <f>IFERROR(IF(Transactions!B151="Expense",Transactions!A151,""),"")</f>
        <v/>
      </c>
      <c r="AB149" s="11" t="str">
        <f>IFERROR(IF(Transactions!B151="Expense",Transactions!C151,""),"")</f>
        <v/>
      </c>
      <c r="AC149" s="11" t="str">
        <f>IFERROR(IF(Transactions!B151="Expense",Transactions!D151,""),"")</f>
        <v/>
      </c>
      <c r="AD149" s="11" t="str">
        <f>IFERROR(IF(Transactions!B151="Expense",Transactions!E151,""),"")</f>
        <v/>
      </c>
    </row>
    <row r="150" ht="15.75" customHeight="1">
      <c r="Z150" s="11" t="str">
        <f>IFERROR(IF(Transactions!B152="Expense",Transactions!E152+ROW()/10000000,""),"")</f>
        <v/>
      </c>
      <c r="AA150" s="31" t="str">
        <f>IFERROR(IF(Transactions!B152="Expense",Transactions!A152,""),"")</f>
        <v/>
      </c>
      <c r="AB150" s="11" t="str">
        <f>IFERROR(IF(Transactions!B152="Expense",Transactions!C152,""),"")</f>
        <v/>
      </c>
      <c r="AC150" s="11" t="str">
        <f>IFERROR(IF(Transactions!B152="Expense",Transactions!D152,""),"")</f>
        <v/>
      </c>
      <c r="AD150" s="11" t="str">
        <f>IFERROR(IF(Transactions!B152="Expense",Transactions!E152,""),"")</f>
        <v/>
      </c>
    </row>
    <row r="151" ht="15.75" customHeight="1">
      <c r="Z151" s="11" t="str">
        <f>IFERROR(IF(Transactions!B153="Expense",Transactions!E153+ROW()/10000000,""),"")</f>
        <v/>
      </c>
      <c r="AA151" s="31" t="str">
        <f>IFERROR(IF(Transactions!B153="Expense",Transactions!A153,""),"")</f>
        <v/>
      </c>
      <c r="AB151" s="11" t="str">
        <f>IFERROR(IF(Transactions!B153="Expense",Transactions!C153,""),"")</f>
        <v/>
      </c>
      <c r="AC151" s="11" t="str">
        <f>IFERROR(IF(Transactions!B153="Expense",Transactions!D153,""),"")</f>
        <v/>
      </c>
      <c r="AD151" s="11" t="str">
        <f>IFERROR(IF(Transactions!B153="Expense",Transactions!E153,""),"")</f>
        <v/>
      </c>
    </row>
    <row r="152" ht="15.75" customHeight="1">
      <c r="Z152" s="11" t="str">
        <f>IFERROR(IF(Transactions!B154="Expense",Transactions!E154+ROW()/10000000,""),"")</f>
        <v/>
      </c>
      <c r="AA152" s="31" t="str">
        <f>IFERROR(IF(Transactions!B154="Expense",Transactions!A154,""),"")</f>
        <v/>
      </c>
      <c r="AB152" s="11" t="str">
        <f>IFERROR(IF(Transactions!B154="Expense",Transactions!C154,""),"")</f>
        <v/>
      </c>
      <c r="AC152" s="11" t="str">
        <f>IFERROR(IF(Transactions!B154="Expense",Transactions!D154,""),"")</f>
        <v/>
      </c>
      <c r="AD152" s="11" t="str">
        <f>IFERROR(IF(Transactions!B154="Expense",Transactions!E154,""),"")</f>
        <v/>
      </c>
    </row>
    <row r="153" ht="15.75" customHeight="1">
      <c r="Z153" s="11" t="str">
        <f>IFERROR(IF(Transactions!B155="Expense",Transactions!E155+ROW()/10000000,""),"")</f>
        <v/>
      </c>
      <c r="AA153" s="31" t="str">
        <f>IFERROR(IF(Transactions!B155="Expense",Transactions!A155,""),"")</f>
        <v/>
      </c>
      <c r="AB153" s="11" t="str">
        <f>IFERROR(IF(Transactions!B155="Expense",Transactions!C155,""),"")</f>
        <v/>
      </c>
      <c r="AC153" s="11" t="str">
        <f>IFERROR(IF(Transactions!B155="Expense",Transactions!D155,""),"")</f>
        <v/>
      </c>
      <c r="AD153" s="11" t="str">
        <f>IFERROR(IF(Transactions!B155="Expense",Transactions!E155,""),"")</f>
        <v/>
      </c>
    </row>
    <row r="154" ht="15.75" customHeight="1">
      <c r="Z154" s="11" t="str">
        <f>IFERROR(IF(Transactions!B156="Expense",Transactions!E156+ROW()/10000000,""),"")</f>
        <v/>
      </c>
      <c r="AA154" s="31" t="str">
        <f>IFERROR(IF(Transactions!B156="Expense",Transactions!A156,""),"")</f>
        <v/>
      </c>
      <c r="AB154" s="11" t="str">
        <f>IFERROR(IF(Transactions!B156="Expense",Transactions!C156,""),"")</f>
        <v/>
      </c>
      <c r="AC154" s="11" t="str">
        <f>IFERROR(IF(Transactions!B156="Expense",Transactions!D156,""),"")</f>
        <v/>
      </c>
      <c r="AD154" s="11" t="str">
        <f>IFERROR(IF(Transactions!B156="Expense",Transactions!E156,""),"")</f>
        <v/>
      </c>
    </row>
    <row r="155" ht="15.75" customHeight="1">
      <c r="Z155" s="11" t="str">
        <f>IFERROR(IF(Transactions!B157="Expense",Transactions!E157+ROW()/10000000,""),"")</f>
        <v/>
      </c>
      <c r="AA155" s="31" t="str">
        <f>IFERROR(IF(Transactions!B157="Expense",Transactions!A157,""),"")</f>
        <v/>
      </c>
      <c r="AB155" s="11" t="str">
        <f>IFERROR(IF(Transactions!B157="Expense",Transactions!C157,""),"")</f>
        <v/>
      </c>
      <c r="AC155" s="11" t="str">
        <f>IFERROR(IF(Transactions!B157="Expense",Transactions!D157,""),"")</f>
        <v/>
      </c>
      <c r="AD155" s="11" t="str">
        <f>IFERROR(IF(Transactions!B157="Expense",Transactions!E157,""),"")</f>
        <v/>
      </c>
    </row>
    <row r="156" ht="15.75" customHeight="1">
      <c r="Z156" s="11" t="str">
        <f>IFERROR(IF(Transactions!B158="Expense",Transactions!E158+ROW()/10000000,""),"")</f>
        <v/>
      </c>
      <c r="AA156" s="31" t="str">
        <f>IFERROR(IF(Transactions!B158="Expense",Transactions!A158,""),"")</f>
        <v/>
      </c>
      <c r="AB156" s="11" t="str">
        <f>IFERROR(IF(Transactions!B158="Expense",Transactions!C158,""),"")</f>
        <v/>
      </c>
      <c r="AC156" s="11" t="str">
        <f>IFERROR(IF(Transactions!B158="Expense",Transactions!D158,""),"")</f>
        <v/>
      </c>
      <c r="AD156" s="11" t="str">
        <f>IFERROR(IF(Transactions!B158="Expense",Transactions!E158,""),"")</f>
        <v/>
      </c>
    </row>
    <row r="157" ht="15.75" customHeight="1">
      <c r="Z157" s="11" t="str">
        <f>IFERROR(IF(Transactions!B159="Expense",Transactions!E159+ROW()/10000000,""),"")</f>
        <v/>
      </c>
      <c r="AA157" s="31" t="str">
        <f>IFERROR(IF(Transactions!B159="Expense",Transactions!A159,""),"")</f>
        <v/>
      </c>
      <c r="AB157" s="11" t="str">
        <f>IFERROR(IF(Transactions!B159="Expense",Transactions!C159,""),"")</f>
        <v/>
      </c>
      <c r="AC157" s="11" t="str">
        <f>IFERROR(IF(Transactions!B159="Expense",Transactions!D159,""),"")</f>
        <v/>
      </c>
      <c r="AD157" s="11" t="str">
        <f>IFERROR(IF(Transactions!B159="Expense",Transactions!E159,""),"")</f>
        <v/>
      </c>
    </row>
    <row r="158" ht="15.75" customHeight="1">
      <c r="Z158" s="11" t="str">
        <f>IFERROR(IF(Transactions!B160="Expense",Transactions!E160+ROW()/10000000,""),"")</f>
        <v/>
      </c>
      <c r="AA158" s="31" t="str">
        <f>IFERROR(IF(Transactions!B160="Expense",Transactions!A160,""),"")</f>
        <v/>
      </c>
      <c r="AB158" s="11" t="str">
        <f>IFERROR(IF(Transactions!B160="Expense",Transactions!C160,""),"")</f>
        <v/>
      </c>
      <c r="AC158" s="11" t="str">
        <f>IFERROR(IF(Transactions!B160="Expense",Transactions!D160,""),"")</f>
        <v/>
      </c>
      <c r="AD158" s="11" t="str">
        <f>IFERROR(IF(Transactions!B160="Expense",Transactions!E160,""),"")</f>
        <v/>
      </c>
    </row>
    <row r="159" ht="15.75" customHeight="1">
      <c r="Z159" s="11" t="str">
        <f>IFERROR(IF(Transactions!B161="Expense",Transactions!E161+ROW()/10000000,""),"")</f>
        <v/>
      </c>
      <c r="AA159" s="31" t="str">
        <f>IFERROR(IF(Transactions!B161="Expense",Transactions!A161,""),"")</f>
        <v/>
      </c>
      <c r="AB159" s="11" t="str">
        <f>IFERROR(IF(Transactions!B161="Expense",Transactions!C161,""),"")</f>
        <v/>
      </c>
      <c r="AC159" s="11" t="str">
        <f>IFERROR(IF(Transactions!B161="Expense",Transactions!D161,""),"")</f>
        <v/>
      </c>
      <c r="AD159" s="11" t="str">
        <f>IFERROR(IF(Transactions!B161="Expense",Transactions!E161,""),"")</f>
        <v/>
      </c>
    </row>
    <row r="160" ht="15.75" customHeight="1">
      <c r="Z160" s="11" t="str">
        <f>IFERROR(IF(Transactions!B162="Expense",Transactions!E162+ROW()/10000000,""),"")</f>
        <v/>
      </c>
      <c r="AA160" s="31" t="str">
        <f>IFERROR(IF(Transactions!B162="Expense",Transactions!A162,""),"")</f>
        <v/>
      </c>
      <c r="AB160" s="11" t="str">
        <f>IFERROR(IF(Transactions!B162="Expense",Transactions!C162,""),"")</f>
        <v/>
      </c>
      <c r="AC160" s="11" t="str">
        <f>IFERROR(IF(Transactions!B162="Expense",Transactions!D162,""),"")</f>
        <v/>
      </c>
      <c r="AD160" s="11" t="str">
        <f>IFERROR(IF(Transactions!B162="Expense",Transactions!E162,""),"")</f>
        <v/>
      </c>
    </row>
    <row r="161" ht="15.75" customHeight="1">
      <c r="Z161" s="11" t="str">
        <f>IFERROR(IF(Transactions!B163="Expense",Transactions!E163+ROW()/10000000,""),"")</f>
        <v/>
      </c>
      <c r="AA161" s="31" t="str">
        <f>IFERROR(IF(Transactions!B163="Expense",Transactions!A163,""),"")</f>
        <v/>
      </c>
      <c r="AB161" s="11" t="str">
        <f>IFERROR(IF(Transactions!B163="Expense",Transactions!C163,""),"")</f>
        <v/>
      </c>
      <c r="AC161" s="11" t="str">
        <f>IFERROR(IF(Transactions!B163="Expense",Transactions!D163,""),"")</f>
        <v/>
      </c>
      <c r="AD161" s="11" t="str">
        <f>IFERROR(IF(Transactions!B163="Expense",Transactions!E163,""),"")</f>
        <v/>
      </c>
    </row>
    <row r="162" ht="15.75" customHeight="1">
      <c r="Z162" s="11" t="str">
        <f>IFERROR(IF(Transactions!B164="Expense",Transactions!E164+ROW()/10000000,""),"")</f>
        <v/>
      </c>
      <c r="AA162" s="31" t="str">
        <f>IFERROR(IF(Transactions!B164="Expense",Transactions!A164,""),"")</f>
        <v/>
      </c>
      <c r="AB162" s="11" t="str">
        <f>IFERROR(IF(Transactions!B164="Expense",Transactions!C164,""),"")</f>
        <v/>
      </c>
      <c r="AC162" s="11" t="str">
        <f>IFERROR(IF(Transactions!B164="Expense",Transactions!D164,""),"")</f>
        <v/>
      </c>
      <c r="AD162" s="11" t="str">
        <f>IFERROR(IF(Transactions!B164="Expense",Transactions!E164,""),"")</f>
        <v/>
      </c>
    </row>
    <row r="163" ht="15.75" customHeight="1">
      <c r="Z163" s="11" t="str">
        <f>IFERROR(IF(Transactions!B165="Expense",Transactions!E165+ROW()/10000000,""),"")</f>
        <v/>
      </c>
      <c r="AA163" s="31" t="str">
        <f>IFERROR(IF(Transactions!B165="Expense",Transactions!A165,""),"")</f>
        <v/>
      </c>
      <c r="AB163" s="11" t="str">
        <f>IFERROR(IF(Transactions!B165="Expense",Transactions!C165,""),"")</f>
        <v/>
      </c>
      <c r="AC163" s="11" t="str">
        <f>IFERROR(IF(Transactions!B165="Expense",Transactions!D165,""),"")</f>
        <v/>
      </c>
      <c r="AD163" s="11" t="str">
        <f>IFERROR(IF(Transactions!B165="Expense",Transactions!E165,""),"")</f>
        <v/>
      </c>
    </row>
    <row r="164" ht="15.75" customHeight="1">
      <c r="Z164" s="11" t="str">
        <f>IFERROR(IF(Transactions!B166="Expense",Transactions!E166+ROW()/10000000,""),"")</f>
        <v/>
      </c>
      <c r="AA164" s="31" t="str">
        <f>IFERROR(IF(Transactions!B166="Expense",Transactions!A166,""),"")</f>
        <v/>
      </c>
      <c r="AB164" s="11" t="str">
        <f>IFERROR(IF(Transactions!B166="Expense",Transactions!C166,""),"")</f>
        <v/>
      </c>
      <c r="AC164" s="11" t="str">
        <f>IFERROR(IF(Transactions!B166="Expense",Transactions!D166,""),"")</f>
        <v/>
      </c>
      <c r="AD164" s="11" t="str">
        <f>IFERROR(IF(Transactions!B166="Expense",Transactions!E166,""),"")</f>
        <v/>
      </c>
    </row>
    <row r="165" ht="15.75" customHeight="1">
      <c r="Z165" s="11" t="str">
        <f>IFERROR(IF(Transactions!B167="Expense",Transactions!E167+ROW()/10000000,""),"")</f>
        <v/>
      </c>
      <c r="AA165" s="31" t="str">
        <f>IFERROR(IF(Transactions!B167="Expense",Transactions!A167,""),"")</f>
        <v/>
      </c>
      <c r="AB165" s="11" t="str">
        <f>IFERROR(IF(Transactions!B167="Expense",Transactions!C167,""),"")</f>
        <v/>
      </c>
      <c r="AC165" s="11" t="str">
        <f>IFERROR(IF(Transactions!B167="Expense",Transactions!D167,""),"")</f>
        <v/>
      </c>
      <c r="AD165" s="11" t="str">
        <f>IFERROR(IF(Transactions!B167="Expense",Transactions!E167,""),"")</f>
        <v/>
      </c>
    </row>
    <row r="166" ht="15.75" customHeight="1">
      <c r="Z166" s="11" t="str">
        <f>IFERROR(IF(Transactions!B168="Expense",Transactions!E168+ROW()/10000000,""),"")</f>
        <v/>
      </c>
      <c r="AA166" s="31" t="str">
        <f>IFERROR(IF(Transactions!B168="Expense",Transactions!A168,""),"")</f>
        <v/>
      </c>
      <c r="AB166" s="11" t="str">
        <f>IFERROR(IF(Transactions!B168="Expense",Transactions!C168,""),"")</f>
        <v/>
      </c>
      <c r="AC166" s="11" t="str">
        <f>IFERROR(IF(Transactions!B168="Expense",Transactions!D168,""),"")</f>
        <v/>
      </c>
      <c r="AD166" s="11" t="str">
        <f>IFERROR(IF(Transactions!B168="Expense",Transactions!E168,""),"")</f>
        <v/>
      </c>
    </row>
    <row r="167" ht="15.75" customHeight="1">
      <c r="Z167" s="11" t="str">
        <f>IFERROR(IF(Transactions!B169="Expense",Transactions!E169+ROW()/10000000,""),"")</f>
        <v/>
      </c>
      <c r="AA167" s="31" t="str">
        <f>IFERROR(IF(Transactions!B169="Expense",Transactions!A169,""),"")</f>
        <v/>
      </c>
      <c r="AB167" s="11" t="str">
        <f>IFERROR(IF(Transactions!B169="Expense",Transactions!C169,""),"")</f>
        <v/>
      </c>
      <c r="AC167" s="11" t="str">
        <f>IFERROR(IF(Transactions!B169="Expense",Transactions!D169,""),"")</f>
        <v/>
      </c>
      <c r="AD167" s="11" t="str">
        <f>IFERROR(IF(Transactions!B169="Expense",Transactions!E169,""),"")</f>
        <v/>
      </c>
    </row>
    <row r="168" ht="15.75" customHeight="1">
      <c r="Z168" s="11" t="str">
        <f>IFERROR(IF(Transactions!B170="Expense",Transactions!E170+ROW()/10000000,""),"")</f>
        <v/>
      </c>
      <c r="AA168" s="31" t="str">
        <f>IFERROR(IF(Transactions!B170="Expense",Transactions!A170,""),"")</f>
        <v/>
      </c>
      <c r="AB168" s="11" t="str">
        <f>IFERROR(IF(Transactions!B170="Expense",Transactions!C170,""),"")</f>
        <v/>
      </c>
      <c r="AC168" s="11" t="str">
        <f>IFERROR(IF(Transactions!B170="Expense",Transactions!D170,""),"")</f>
        <v/>
      </c>
      <c r="AD168" s="11" t="str">
        <f>IFERROR(IF(Transactions!B170="Expense",Transactions!E170,""),"")</f>
        <v/>
      </c>
    </row>
    <row r="169" ht="15.75" customHeight="1">
      <c r="Z169" s="11" t="str">
        <f>IFERROR(IF(Transactions!B171="Expense",Transactions!E171+ROW()/10000000,""),"")</f>
        <v/>
      </c>
      <c r="AA169" s="31" t="str">
        <f>IFERROR(IF(Transactions!B171="Expense",Transactions!A171,""),"")</f>
        <v/>
      </c>
      <c r="AB169" s="11" t="str">
        <f>IFERROR(IF(Transactions!B171="Expense",Transactions!C171,""),"")</f>
        <v/>
      </c>
      <c r="AC169" s="11" t="str">
        <f>IFERROR(IF(Transactions!B171="Expense",Transactions!D171,""),"")</f>
        <v/>
      </c>
      <c r="AD169" s="11" t="str">
        <f>IFERROR(IF(Transactions!B171="Expense",Transactions!E171,""),"")</f>
        <v/>
      </c>
    </row>
    <row r="170" ht="15.75" customHeight="1">
      <c r="Z170" s="11" t="str">
        <f>IFERROR(IF(Transactions!B172="Expense",Transactions!E172+ROW()/10000000,""),"")</f>
        <v/>
      </c>
      <c r="AA170" s="31" t="str">
        <f>IFERROR(IF(Transactions!B172="Expense",Transactions!A172,""),"")</f>
        <v/>
      </c>
      <c r="AB170" s="11" t="str">
        <f>IFERROR(IF(Transactions!B172="Expense",Transactions!C172,""),"")</f>
        <v/>
      </c>
      <c r="AC170" s="11" t="str">
        <f>IFERROR(IF(Transactions!B172="Expense",Transactions!D172,""),"")</f>
        <v/>
      </c>
      <c r="AD170" s="11" t="str">
        <f>IFERROR(IF(Transactions!B172="Expense",Transactions!E172,""),"")</f>
        <v/>
      </c>
    </row>
    <row r="171" ht="15.75" customHeight="1">
      <c r="Z171" s="11" t="str">
        <f>IFERROR(IF(Transactions!B173="Expense",Transactions!E173+ROW()/10000000,""),"")</f>
        <v/>
      </c>
      <c r="AA171" s="31" t="str">
        <f>IFERROR(IF(Transactions!B173="Expense",Transactions!A173,""),"")</f>
        <v/>
      </c>
      <c r="AB171" s="11" t="str">
        <f>IFERROR(IF(Transactions!B173="Expense",Transactions!C173,""),"")</f>
        <v/>
      </c>
      <c r="AC171" s="11" t="str">
        <f>IFERROR(IF(Transactions!B173="Expense",Transactions!D173,""),"")</f>
        <v/>
      </c>
      <c r="AD171" s="11" t="str">
        <f>IFERROR(IF(Transactions!B173="Expense",Transactions!E173,""),"")</f>
        <v/>
      </c>
    </row>
    <row r="172" ht="15.75" customHeight="1">
      <c r="Z172" s="11" t="str">
        <f>IFERROR(IF(Transactions!B174="Expense",Transactions!E174+ROW()/10000000,""),"")</f>
        <v/>
      </c>
      <c r="AA172" s="31" t="str">
        <f>IFERROR(IF(Transactions!B174="Expense",Transactions!A174,""),"")</f>
        <v/>
      </c>
      <c r="AB172" s="11" t="str">
        <f>IFERROR(IF(Transactions!B174="Expense",Transactions!C174,""),"")</f>
        <v/>
      </c>
      <c r="AC172" s="11" t="str">
        <f>IFERROR(IF(Transactions!B174="Expense",Transactions!D174,""),"")</f>
        <v/>
      </c>
      <c r="AD172" s="11" t="str">
        <f>IFERROR(IF(Transactions!B174="Expense",Transactions!E174,""),"")</f>
        <v/>
      </c>
    </row>
    <row r="173" ht="15.75" customHeight="1">
      <c r="Z173" s="11" t="str">
        <f>IFERROR(IF(Transactions!B175="Expense",Transactions!E175+ROW()/10000000,""),"")</f>
        <v/>
      </c>
      <c r="AA173" s="31" t="str">
        <f>IFERROR(IF(Transactions!B175="Expense",Transactions!A175,""),"")</f>
        <v/>
      </c>
      <c r="AB173" s="11" t="str">
        <f>IFERROR(IF(Transactions!B175="Expense",Transactions!C175,""),"")</f>
        <v/>
      </c>
      <c r="AC173" s="11" t="str">
        <f>IFERROR(IF(Transactions!B175="Expense",Transactions!D175,""),"")</f>
        <v/>
      </c>
      <c r="AD173" s="11" t="str">
        <f>IFERROR(IF(Transactions!B175="Expense",Transactions!E175,""),"")</f>
        <v/>
      </c>
    </row>
    <row r="174" ht="15.75" customHeight="1">
      <c r="Z174" s="11" t="str">
        <f>IFERROR(IF(Transactions!B176="Expense",Transactions!E176+ROW()/10000000,""),"")</f>
        <v/>
      </c>
      <c r="AA174" s="31" t="str">
        <f>IFERROR(IF(Transactions!B176="Expense",Transactions!A176,""),"")</f>
        <v/>
      </c>
      <c r="AB174" s="11" t="str">
        <f>IFERROR(IF(Transactions!B176="Expense",Transactions!C176,""),"")</f>
        <v/>
      </c>
      <c r="AC174" s="11" t="str">
        <f>IFERROR(IF(Transactions!B176="Expense",Transactions!D176,""),"")</f>
        <v/>
      </c>
      <c r="AD174" s="11" t="str">
        <f>IFERROR(IF(Transactions!B176="Expense",Transactions!E176,""),"")</f>
        <v/>
      </c>
    </row>
    <row r="175" ht="15.75" customHeight="1">
      <c r="Z175" s="11" t="str">
        <f>IFERROR(IF(Transactions!B177="Expense",Transactions!E177+ROW()/10000000,""),"")</f>
        <v/>
      </c>
      <c r="AA175" s="31" t="str">
        <f>IFERROR(IF(Transactions!B177="Expense",Transactions!A177,""),"")</f>
        <v/>
      </c>
      <c r="AB175" s="11" t="str">
        <f>IFERROR(IF(Transactions!B177="Expense",Transactions!C177,""),"")</f>
        <v/>
      </c>
      <c r="AC175" s="11" t="str">
        <f>IFERROR(IF(Transactions!B177="Expense",Transactions!D177,""),"")</f>
        <v/>
      </c>
      <c r="AD175" s="11" t="str">
        <f>IFERROR(IF(Transactions!B177="Expense",Transactions!E177,""),"")</f>
        <v/>
      </c>
    </row>
    <row r="176" ht="15.75" customHeight="1">
      <c r="Z176" s="11" t="str">
        <f>IFERROR(IF(Transactions!B178="Expense",Transactions!E178+ROW()/10000000,""),"")</f>
        <v/>
      </c>
      <c r="AA176" s="31" t="str">
        <f>IFERROR(IF(Transactions!B178="Expense",Transactions!A178,""),"")</f>
        <v/>
      </c>
      <c r="AB176" s="11" t="str">
        <f>IFERROR(IF(Transactions!B178="Expense",Transactions!C178,""),"")</f>
        <v/>
      </c>
      <c r="AC176" s="11" t="str">
        <f>IFERROR(IF(Transactions!B178="Expense",Transactions!D178,""),"")</f>
        <v/>
      </c>
      <c r="AD176" s="11" t="str">
        <f>IFERROR(IF(Transactions!B178="Expense",Transactions!E178,""),"")</f>
        <v/>
      </c>
    </row>
    <row r="177" ht="15.75" customHeight="1">
      <c r="Z177" s="11" t="str">
        <f>IFERROR(IF(Transactions!B179="Expense",Transactions!E179+ROW()/10000000,""),"")</f>
        <v/>
      </c>
      <c r="AA177" s="31" t="str">
        <f>IFERROR(IF(Transactions!B179="Expense",Transactions!A179,""),"")</f>
        <v/>
      </c>
      <c r="AB177" s="11" t="str">
        <f>IFERROR(IF(Transactions!B179="Expense",Transactions!C179,""),"")</f>
        <v/>
      </c>
      <c r="AC177" s="11" t="str">
        <f>IFERROR(IF(Transactions!B179="Expense",Transactions!D179,""),"")</f>
        <v/>
      </c>
      <c r="AD177" s="11" t="str">
        <f>IFERROR(IF(Transactions!B179="Expense",Transactions!E179,""),"")</f>
        <v/>
      </c>
    </row>
    <row r="178" ht="15.75" customHeight="1">
      <c r="Z178" s="11" t="str">
        <f>IFERROR(IF(Transactions!B180="Expense",Transactions!E180+ROW()/10000000,""),"")</f>
        <v/>
      </c>
      <c r="AA178" s="31" t="str">
        <f>IFERROR(IF(Transactions!B180="Expense",Transactions!A180,""),"")</f>
        <v/>
      </c>
      <c r="AB178" s="11" t="str">
        <f>IFERROR(IF(Transactions!B180="Expense",Transactions!C180,""),"")</f>
        <v/>
      </c>
      <c r="AC178" s="11" t="str">
        <f>IFERROR(IF(Transactions!B180="Expense",Transactions!D180,""),"")</f>
        <v/>
      </c>
      <c r="AD178" s="11" t="str">
        <f>IFERROR(IF(Transactions!B180="Expense",Transactions!E180,""),"")</f>
        <v/>
      </c>
    </row>
    <row r="179" ht="15.75" customHeight="1">
      <c r="Z179" s="11" t="str">
        <f>IFERROR(IF(Transactions!B181="Expense",Transactions!E181+ROW()/10000000,""),"")</f>
        <v/>
      </c>
      <c r="AA179" s="31" t="str">
        <f>IFERROR(IF(Transactions!B181="Expense",Transactions!A181,""),"")</f>
        <v/>
      </c>
      <c r="AB179" s="11" t="str">
        <f>IFERROR(IF(Transactions!B181="Expense",Transactions!C181,""),"")</f>
        <v/>
      </c>
      <c r="AC179" s="11" t="str">
        <f>IFERROR(IF(Transactions!B181="Expense",Transactions!D181,""),"")</f>
        <v/>
      </c>
      <c r="AD179" s="11" t="str">
        <f>IFERROR(IF(Transactions!B181="Expense",Transactions!E181,""),"")</f>
        <v/>
      </c>
    </row>
    <row r="180" ht="15.75" customHeight="1">
      <c r="Z180" s="11" t="str">
        <f>IFERROR(IF(Transactions!B182="Expense",Transactions!E182+ROW()/10000000,""),"")</f>
        <v/>
      </c>
      <c r="AA180" s="31" t="str">
        <f>IFERROR(IF(Transactions!B182="Expense",Transactions!A182,""),"")</f>
        <v/>
      </c>
      <c r="AB180" s="11" t="str">
        <f>IFERROR(IF(Transactions!B182="Expense",Transactions!C182,""),"")</f>
        <v/>
      </c>
      <c r="AC180" s="11" t="str">
        <f>IFERROR(IF(Transactions!B182="Expense",Transactions!D182,""),"")</f>
        <v/>
      </c>
      <c r="AD180" s="11" t="str">
        <f>IFERROR(IF(Transactions!B182="Expense",Transactions!E182,""),"")</f>
        <v/>
      </c>
    </row>
    <row r="181" ht="15.75" customHeight="1">
      <c r="Z181" s="11" t="str">
        <f>IFERROR(IF(Transactions!B183="Expense",Transactions!E183+ROW()/10000000,""),"")</f>
        <v/>
      </c>
      <c r="AA181" s="31" t="str">
        <f>IFERROR(IF(Transactions!B183="Expense",Transactions!A183,""),"")</f>
        <v/>
      </c>
      <c r="AB181" s="11" t="str">
        <f>IFERROR(IF(Transactions!B183="Expense",Transactions!C183,""),"")</f>
        <v/>
      </c>
      <c r="AC181" s="11" t="str">
        <f>IFERROR(IF(Transactions!B183="Expense",Transactions!D183,""),"")</f>
        <v/>
      </c>
      <c r="AD181" s="11" t="str">
        <f>IFERROR(IF(Transactions!B183="Expense",Transactions!E183,""),"")</f>
        <v/>
      </c>
    </row>
    <row r="182" ht="15.75" customHeight="1">
      <c r="Z182" s="11" t="str">
        <f>IFERROR(IF(Transactions!B184="Expense",Transactions!E184+ROW()/10000000,""),"")</f>
        <v/>
      </c>
      <c r="AA182" s="31" t="str">
        <f>IFERROR(IF(Transactions!B184="Expense",Transactions!A184,""),"")</f>
        <v/>
      </c>
      <c r="AB182" s="11" t="str">
        <f>IFERROR(IF(Transactions!B184="Expense",Transactions!C184,""),"")</f>
        <v/>
      </c>
      <c r="AC182" s="11" t="str">
        <f>IFERROR(IF(Transactions!B184="Expense",Transactions!D184,""),"")</f>
        <v/>
      </c>
      <c r="AD182" s="11" t="str">
        <f>IFERROR(IF(Transactions!B184="Expense",Transactions!E184,""),"")</f>
        <v/>
      </c>
    </row>
    <row r="183" ht="15.75" customHeight="1">
      <c r="Z183" s="11" t="str">
        <f>IFERROR(IF(Transactions!B185="Expense",Transactions!E185+ROW()/10000000,""),"")</f>
        <v/>
      </c>
      <c r="AA183" s="31" t="str">
        <f>IFERROR(IF(Transactions!B185="Expense",Transactions!A185,""),"")</f>
        <v/>
      </c>
      <c r="AB183" s="11" t="str">
        <f>IFERROR(IF(Transactions!B185="Expense",Transactions!C185,""),"")</f>
        <v/>
      </c>
      <c r="AC183" s="11" t="str">
        <f>IFERROR(IF(Transactions!B185="Expense",Transactions!D185,""),"")</f>
        <v/>
      </c>
      <c r="AD183" s="11" t="str">
        <f>IFERROR(IF(Transactions!B185="Expense",Transactions!E185,""),"")</f>
        <v/>
      </c>
    </row>
    <row r="184" ht="15.75" customHeight="1">
      <c r="Z184" s="11" t="str">
        <f>IFERROR(IF(Transactions!B186="Expense",Transactions!E186+ROW()/10000000,""),"")</f>
        <v/>
      </c>
      <c r="AA184" s="31" t="str">
        <f>IFERROR(IF(Transactions!B186="Expense",Transactions!A186,""),"")</f>
        <v/>
      </c>
      <c r="AB184" s="11" t="str">
        <f>IFERROR(IF(Transactions!B186="Expense",Transactions!C186,""),"")</f>
        <v/>
      </c>
      <c r="AC184" s="11" t="str">
        <f>IFERROR(IF(Transactions!B186="Expense",Transactions!D186,""),"")</f>
        <v/>
      </c>
      <c r="AD184" s="11" t="str">
        <f>IFERROR(IF(Transactions!B186="Expense",Transactions!E186,""),"")</f>
        <v/>
      </c>
    </row>
    <row r="185" ht="15.75" customHeight="1">
      <c r="Z185" s="11" t="str">
        <f>IFERROR(IF(Transactions!B187="Expense",Transactions!E187+ROW()/10000000,""),"")</f>
        <v/>
      </c>
      <c r="AA185" s="31" t="str">
        <f>IFERROR(IF(Transactions!B187="Expense",Transactions!A187,""),"")</f>
        <v/>
      </c>
      <c r="AB185" s="11" t="str">
        <f>IFERROR(IF(Transactions!B187="Expense",Transactions!C187,""),"")</f>
        <v/>
      </c>
      <c r="AC185" s="11" t="str">
        <f>IFERROR(IF(Transactions!B187="Expense",Transactions!D187,""),"")</f>
        <v/>
      </c>
      <c r="AD185" s="11" t="str">
        <f>IFERROR(IF(Transactions!B187="Expense",Transactions!E187,""),"")</f>
        <v/>
      </c>
    </row>
    <row r="186" ht="15.75" customHeight="1">
      <c r="Z186" s="11" t="str">
        <f>IFERROR(IF(Transactions!B188="Expense",Transactions!E188+ROW()/10000000,""),"")</f>
        <v/>
      </c>
      <c r="AA186" s="31" t="str">
        <f>IFERROR(IF(Transactions!B188="Expense",Transactions!A188,""),"")</f>
        <v/>
      </c>
      <c r="AB186" s="11" t="str">
        <f>IFERROR(IF(Transactions!B188="Expense",Transactions!C188,""),"")</f>
        <v/>
      </c>
      <c r="AC186" s="11" t="str">
        <f>IFERROR(IF(Transactions!B188="Expense",Transactions!D188,""),"")</f>
        <v/>
      </c>
      <c r="AD186" s="11" t="str">
        <f>IFERROR(IF(Transactions!B188="Expense",Transactions!E188,""),"")</f>
        <v/>
      </c>
    </row>
    <row r="187" ht="15.75" customHeight="1">
      <c r="Z187" s="11" t="str">
        <f>IFERROR(IF(Transactions!B189="Expense",Transactions!E189+ROW()/10000000,""),"")</f>
        <v/>
      </c>
      <c r="AA187" s="31" t="str">
        <f>IFERROR(IF(Transactions!B189="Expense",Transactions!A189,""),"")</f>
        <v/>
      </c>
      <c r="AB187" s="11" t="str">
        <f>IFERROR(IF(Transactions!B189="Expense",Transactions!C189,""),"")</f>
        <v/>
      </c>
      <c r="AC187" s="11" t="str">
        <f>IFERROR(IF(Transactions!B189="Expense",Transactions!D189,""),"")</f>
        <v/>
      </c>
      <c r="AD187" s="11" t="str">
        <f>IFERROR(IF(Transactions!B189="Expense",Transactions!E189,""),"")</f>
        <v/>
      </c>
    </row>
    <row r="188" ht="15.75" customHeight="1">
      <c r="Z188" s="11" t="str">
        <f>IFERROR(IF(Transactions!B190="Expense",Transactions!E190+ROW()/10000000,""),"")</f>
        <v/>
      </c>
      <c r="AA188" s="31" t="str">
        <f>IFERROR(IF(Transactions!B190="Expense",Transactions!A190,""),"")</f>
        <v/>
      </c>
      <c r="AB188" s="11" t="str">
        <f>IFERROR(IF(Transactions!B190="Expense",Transactions!C190,""),"")</f>
        <v/>
      </c>
      <c r="AC188" s="11" t="str">
        <f>IFERROR(IF(Transactions!B190="Expense",Transactions!D190,""),"")</f>
        <v/>
      </c>
      <c r="AD188" s="11" t="str">
        <f>IFERROR(IF(Transactions!B190="Expense",Transactions!E190,""),"")</f>
        <v/>
      </c>
    </row>
    <row r="189" ht="15.75" customHeight="1">
      <c r="Z189" s="11" t="str">
        <f>IFERROR(IF(Transactions!B191="Expense",Transactions!E191+ROW()/10000000,""),"")</f>
        <v/>
      </c>
      <c r="AA189" s="31" t="str">
        <f>IFERROR(IF(Transactions!B191="Expense",Transactions!A191,""),"")</f>
        <v/>
      </c>
      <c r="AB189" s="11" t="str">
        <f>IFERROR(IF(Transactions!B191="Expense",Transactions!C191,""),"")</f>
        <v/>
      </c>
      <c r="AC189" s="11" t="str">
        <f>IFERROR(IF(Transactions!B191="Expense",Transactions!D191,""),"")</f>
        <v/>
      </c>
      <c r="AD189" s="11" t="str">
        <f>IFERROR(IF(Transactions!B191="Expense",Transactions!E191,""),"")</f>
        <v/>
      </c>
    </row>
    <row r="190" ht="15.75" customHeight="1">
      <c r="Z190" s="11" t="str">
        <f>IFERROR(IF(Transactions!B192="Expense",Transactions!E192+ROW()/10000000,""),"")</f>
        <v/>
      </c>
      <c r="AA190" s="31" t="str">
        <f>IFERROR(IF(Transactions!B192="Expense",Transactions!A192,""),"")</f>
        <v/>
      </c>
      <c r="AB190" s="11" t="str">
        <f>IFERROR(IF(Transactions!B192="Expense",Transactions!C192,""),"")</f>
        <v/>
      </c>
      <c r="AC190" s="11" t="str">
        <f>IFERROR(IF(Transactions!B192="Expense",Transactions!D192,""),"")</f>
        <v/>
      </c>
      <c r="AD190" s="11" t="str">
        <f>IFERROR(IF(Transactions!B192="Expense",Transactions!E192,""),"")</f>
        <v/>
      </c>
    </row>
    <row r="191" ht="15.75" customHeight="1">
      <c r="Z191" s="11" t="str">
        <f>IFERROR(IF(Transactions!B193="Expense",Transactions!E193+ROW()/10000000,""),"")</f>
        <v/>
      </c>
      <c r="AA191" s="31" t="str">
        <f>IFERROR(IF(Transactions!B193="Expense",Transactions!A193,""),"")</f>
        <v/>
      </c>
      <c r="AB191" s="11" t="str">
        <f>IFERROR(IF(Transactions!B193="Expense",Transactions!C193,""),"")</f>
        <v/>
      </c>
      <c r="AC191" s="11" t="str">
        <f>IFERROR(IF(Transactions!B193="Expense",Transactions!D193,""),"")</f>
        <v/>
      </c>
      <c r="AD191" s="11" t="str">
        <f>IFERROR(IF(Transactions!B193="Expense",Transactions!E193,""),"")</f>
        <v/>
      </c>
    </row>
    <row r="192" ht="15.75" customHeight="1">
      <c r="Z192" s="11" t="str">
        <f>IFERROR(IF(Transactions!B194="Expense",Transactions!E194+ROW()/10000000,""),"")</f>
        <v/>
      </c>
      <c r="AA192" s="31" t="str">
        <f>IFERROR(IF(Transactions!B194="Expense",Transactions!A194,""),"")</f>
        <v/>
      </c>
      <c r="AB192" s="11" t="str">
        <f>IFERROR(IF(Transactions!B194="Expense",Transactions!C194,""),"")</f>
        <v/>
      </c>
      <c r="AC192" s="11" t="str">
        <f>IFERROR(IF(Transactions!B194="Expense",Transactions!D194,""),"")</f>
        <v/>
      </c>
      <c r="AD192" s="11" t="str">
        <f>IFERROR(IF(Transactions!B194="Expense",Transactions!E194,""),"")</f>
        <v/>
      </c>
    </row>
    <row r="193" ht="15.75" customHeight="1">
      <c r="Z193" s="11" t="str">
        <f>IFERROR(IF(Transactions!B195="Expense",Transactions!E195+ROW()/10000000,""),"")</f>
        <v/>
      </c>
      <c r="AA193" s="31" t="str">
        <f>IFERROR(IF(Transactions!B195="Expense",Transactions!A195,""),"")</f>
        <v/>
      </c>
      <c r="AB193" s="11" t="str">
        <f>IFERROR(IF(Transactions!B195="Expense",Transactions!C195,""),"")</f>
        <v/>
      </c>
      <c r="AC193" s="11" t="str">
        <f>IFERROR(IF(Transactions!B195="Expense",Transactions!D195,""),"")</f>
        <v/>
      </c>
      <c r="AD193" s="11" t="str">
        <f>IFERROR(IF(Transactions!B195="Expense",Transactions!E195,""),"")</f>
        <v/>
      </c>
    </row>
    <row r="194" ht="15.75" customHeight="1">
      <c r="Z194" s="11" t="str">
        <f>IFERROR(IF(Transactions!B196="Expense",Transactions!E196+ROW()/10000000,""),"")</f>
        <v/>
      </c>
      <c r="AA194" s="31" t="str">
        <f>IFERROR(IF(Transactions!B196="Expense",Transactions!A196,""),"")</f>
        <v/>
      </c>
      <c r="AB194" s="11" t="str">
        <f>IFERROR(IF(Transactions!B196="Expense",Transactions!C196,""),"")</f>
        <v/>
      </c>
      <c r="AC194" s="11" t="str">
        <f>IFERROR(IF(Transactions!B196="Expense",Transactions!D196,""),"")</f>
        <v/>
      </c>
      <c r="AD194" s="11" t="str">
        <f>IFERROR(IF(Transactions!B196="Expense",Transactions!E196,""),"")</f>
        <v/>
      </c>
    </row>
    <row r="195" ht="15.75" customHeight="1">
      <c r="Z195" s="11" t="str">
        <f>IFERROR(IF(Transactions!B197="Expense",Transactions!E197+ROW()/10000000,""),"")</f>
        <v/>
      </c>
      <c r="AA195" s="31" t="str">
        <f>IFERROR(IF(Transactions!B197="Expense",Transactions!A197,""),"")</f>
        <v/>
      </c>
      <c r="AB195" s="11" t="str">
        <f>IFERROR(IF(Transactions!B197="Expense",Transactions!C197,""),"")</f>
        <v/>
      </c>
      <c r="AC195" s="11" t="str">
        <f>IFERROR(IF(Transactions!B197="Expense",Transactions!D197,""),"")</f>
        <v/>
      </c>
      <c r="AD195" s="11" t="str">
        <f>IFERROR(IF(Transactions!B197="Expense",Transactions!E197,""),"")</f>
        <v/>
      </c>
    </row>
    <row r="196" ht="15.75" customHeight="1">
      <c r="Z196" s="11" t="str">
        <f>IFERROR(IF(Transactions!B198="Expense",Transactions!E198+ROW()/10000000,""),"")</f>
        <v/>
      </c>
      <c r="AA196" s="31" t="str">
        <f>IFERROR(IF(Transactions!B198="Expense",Transactions!A198,""),"")</f>
        <v/>
      </c>
      <c r="AB196" s="11" t="str">
        <f>IFERROR(IF(Transactions!B198="Expense",Transactions!C198,""),"")</f>
        <v/>
      </c>
      <c r="AC196" s="11" t="str">
        <f>IFERROR(IF(Transactions!B198="Expense",Transactions!D198,""),"")</f>
        <v/>
      </c>
      <c r="AD196" s="11" t="str">
        <f>IFERROR(IF(Transactions!B198="Expense",Transactions!E198,""),"")</f>
        <v/>
      </c>
    </row>
    <row r="197" ht="15.75" customHeight="1">
      <c r="Z197" s="11" t="str">
        <f>IFERROR(IF(Transactions!B199="Expense",Transactions!E199+ROW()/10000000,""),"")</f>
        <v/>
      </c>
      <c r="AA197" s="31" t="str">
        <f>IFERROR(IF(Transactions!B199="Expense",Transactions!A199,""),"")</f>
        <v/>
      </c>
      <c r="AB197" s="11" t="str">
        <f>IFERROR(IF(Transactions!B199="Expense",Transactions!C199,""),"")</f>
        <v/>
      </c>
      <c r="AC197" s="11" t="str">
        <f>IFERROR(IF(Transactions!B199="Expense",Transactions!D199,""),"")</f>
        <v/>
      </c>
      <c r="AD197" s="11" t="str">
        <f>IFERROR(IF(Transactions!B199="Expense",Transactions!E199,""),"")</f>
        <v/>
      </c>
    </row>
    <row r="198" ht="15.75" customHeight="1">
      <c r="Z198" s="11" t="str">
        <f>IFERROR(IF(Transactions!B200="Expense",Transactions!E200+ROW()/10000000,""),"")</f>
        <v/>
      </c>
      <c r="AA198" s="31" t="str">
        <f>IFERROR(IF(Transactions!B200="Expense",Transactions!A200,""),"")</f>
        <v/>
      </c>
      <c r="AB198" s="11" t="str">
        <f>IFERROR(IF(Transactions!B200="Expense",Transactions!C200,""),"")</f>
        <v/>
      </c>
      <c r="AC198" s="11" t="str">
        <f>IFERROR(IF(Transactions!B200="Expense",Transactions!D200,""),"")</f>
        <v/>
      </c>
      <c r="AD198" s="11" t="str">
        <f>IFERROR(IF(Transactions!B200="Expense",Transactions!E200,""),"")</f>
        <v/>
      </c>
    </row>
    <row r="199" ht="15.75" customHeight="1">
      <c r="Z199" s="11" t="str">
        <f>IFERROR(IF(Transactions!B201="Expense",Transactions!E201+ROW()/10000000,""),"")</f>
        <v/>
      </c>
      <c r="AA199" s="31" t="str">
        <f>IFERROR(IF(Transactions!B201="Expense",Transactions!A201,""),"")</f>
        <v/>
      </c>
      <c r="AB199" s="11" t="str">
        <f>IFERROR(IF(Transactions!B201="Expense",Transactions!C201,""),"")</f>
        <v/>
      </c>
      <c r="AC199" s="11" t="str">
        <f>IFERROR(IF(Transactions!B201="Expense",Transactions!D201,""),"")</f>
        <v/>
      </c>
      <c r="AD199" s="11" t="str">
        <f>IFERROR(IF(Transactions!B201="Expense",Transactions!E201,""),"")</f>
        <v/>
      </c>
    </row>
    <row r="200" ht="15.75" customHeight="1">
      <c r="Z200" s="11" t="str">
        <f>IFERROR(IF(Transactions!B202="Expense",Transactions!E202+ROW()/10000000,""),"")</f>
        <v/>
      </c>
      <c r="AA200" s="31" t="str">
        <f>IFERROR(IF(Transactions!B202="Expense",Transactions!A202,""),"")</f>
        <v/>
      </c>
      <c r="AB200" s="11" t="str">
        <f>IFERROR(IF(Transactions!B202="Expense",Transactions!C202,""),"")</f>
        <v/>
      </c>
      <c r="AC200" s="11" t="str">
        <f>IFERROR(IF(Transactions!B202="Expense",Transactions!D202,""),"")</f>
        <v/>
      </c>
      <c r="AD200" s="11" t="str">
        <f>IFERROR(IF(Transactions!B202="Expense",Transactions!E202,""),"")</f>
        <v/>
      </c>
    </row>
    <row r="201" ht="15.75" customHeight="1">
      <c r="Z201" s="11" t="str">
        <f>IFERROR(IF(Transactions!B203="Expense",Transactions!E203+ROW()/10000000,""),"")</f>
        <v/>
      </c>
      <c r="AA201" s="31" t="str">
        <f>IFERROR(IF(Transactions!B203="Expense",Transactions!A203,""),"")</f>
        <v/>
      </c>
      <c r="AB201" s="11" t="str">
        <f>IFERROR(IF(Transactions!B203="Expense",Transactions!C203,""),"")</f>
        <v/>
      </c>
      <c r="AC201" s="11" t="str">
        <f>IFERROR(IF(Transactions!B203="Expense",Transactions!D203,""),"")</f>
        <v/>
      </c>
      <c r="AD201" s="11" t="str">
        <f>IFERROR(IF(Transactions!B203="Expense",Transactions!E203,""),"")</f>
        <v/>
      </c>
    </row>
    <row r="202" ht="15.75" customHeight="1">
      <c r="Z202" s="11" t="str">
        <f>IFERROR(IF(Transactions!B204="Expense",Transactions!E204+ROW()/10000000,""),"")</f>
        <v/>
      </c>
      <c r="AA202" s="31" t="str">
        <f>IFERROR(IF(Transactions!B204="Expense",Transactions!A204,""),"")</f>
        <v/>
      </c>
      <c r="AB202" s="11" t="str">
        <f>IFERROR(IF(Transactions!B204="Expense",Transactions!C204,""),"")</f>
        <v/>
      </c>
      <c r="AC202" s="11" t="str">
        <f>IFERROR(IF(Transactions!B204="Expense",Transactions!D204,""),"")</f>
        <v/>
      </c>
      <c r="AD202" s="11" t="str">
        <f>IFERROR(IF(Transactions!B204="Expense",Transactions!E204,""),"")</f>
        <v/>
      </c>
    </row>
    <row r="203" ht="15.75" customHeight="1">
      <c r="Z203" s="11" t="str">
        <f>IFERROR(IF(Transactions!B205="Expense",Transactions!E205+ROW()/10000000,""),"")</f>
        <v/>
      </c>
      <c r="AA203" s="31" t="str">
        <f>IFERROR(IF(Transactions!B205="Expense",Transactions!A205,""),"")</f>
        <v/>
      </c>
      <c r="AB203" s="11" t="str">
        <f>IFERROR(IF(Transactions!B205="Expense",Transactions!C205,""),"")</f>
        <v/>
      </c>
      <c r="AC203" s="11" t="str">
        <f>IFERROR(IF(Transactions!B205="Expense",Transactions!D205,""),"")</f>
        <v/>
      </c>
      <c r="AD203" s="11" t="str">
        <f>IFERROR(IF(Transactions!B205="Expense",Transactions!E205,""),"")</f>
        <v/>
      </c>
    </row>
    <row r="204" ht="15.75" customHeight="1">
      <c r="Z204" s="11" t="str">
        <f>IFERROR(IF(Transactions!B206="Expense",Transactions!E206+ROW()/10000000,""),"")</f>
        <v/>
      </c>
      <c r="AA204" s="31" t="str">
        <f>IFERROR(IF(Transactions!B206="Expense",Transactions!A206,""),"")</f>
        <v/>
      </c>
      <c r="AB204" s="11" t="str">
        <f>IFERROR(IF(Transactions!B206="Expense",Transactions!C206,""),"")</f>
        <v/>
      </c>
      <c r="AC204" s="11" t="str">
        <f>IFERROR(IF(Transactions!B206="Expense",Transactions!D206,""),"")</f>
        <v/>
      </c>
      <c r="AD204" s="11" t="str">
        <f>IFERROR(IF(Transactions!B206="Expense",Transactions!E206,""),"")</f>
        <v/>
      </c>
    </row>
    <row r="205" ht="15.75" customHeight="1">
      <c r="Z205" s="11" t="str">
        <f>IFERROR(IF(Transactions!B207="Expense",Transactions!E207+ROW()/10000000,""),"")</f>
        <v/>
      </c>
      <c r="AA205" s="31" t="str">
        <f>IFERROR(IF(Transactions!B207="Expense",Transactions!A207,""),"")</f>
        <v/>
      </c>
      <c r="AB205" s="11" t="str">
        <f>IFERROR(IF(Transactions!B207="Expense",Transactions!C207,""),"")</f>
        <v/>
      </c>
      <c r="AC205" s="11" t="str">
        <f>IFERROR(IF(Transactions!B207="Expense",Transactions!D207,""),"")</f>
        <v/>
      </c>
      <c r="AD205" s="11" t="str">
        <f>IFERROR(IF(Transactions!B207="Expense",Transactions!E207,""),"")</f>
        <v/>
      </c>
    </row>
    <row r="206" ht="15.75" customHeight="1">
      <c r="Z206" s="11" t="str">
        <f>IFERROR(IF(Transactions!B208="Expense",Transactions!E208+ROW()/10000000,""),"")</f>
        <v/>
      </c>
      <c r="AA206" s="31" t="str">
        <f>IFERROR(IF(Transactions!B208="Expense",Transactions!A208,""),"")</f>
        <v/>
      </c>
      <c r="AB206" s="11" t="str">
        <f>IFERROR(IF(Transactions!B208="Expense",Transactions!C208,""),"")</f>
        <v/>
      </c>
      <c r="AC206" s="11" t="str">
        <f>IFERROR(IF(Transactions!B208="Expense",Transactions!D208,""),"")</f>
        <v/>
      </c>
      <c r="AD206" s="11" t="str">
        <f>IFERROR(IF(Transactions!B208="Expense",Transactions!E208,""),"")</f>
        <v/>
      </c>
    </row>
    <row r="207" ht="15.75" customHeight="1">
      <c r="Z207" s="11" t="str">
        <f>IFERROR(IF(Transactions!B209="Expense",Transactions!E209+ROW()/10000000,""),"")</f>
        <v/>
      </c>
      <c r="AA207" s="31" t="str">
        <f>IFERROR(IF(Transactions!B209="Expense",Transactions!A209,""),"")</f>
        <v/>
      </c>
      <c r="AB207" s="11" t="str">
        <f>IFERROR(IF(Transactions!B209="Expense",Transactions!C209,""),"")</f>
        <v/>
      </c>
      <c r="AC207" s="11" t="str">
        <f>IFERROR(IF(Transactions!B209="Expense",Transactions!D209,""),"")</f>
        <v/>
      </c>
      <c r="AD207" s="11" t="str">
        <f>IFERROR(IF(Transactions!B209="Expense",Transactions!E209,""),"")</f>
        <v/>
      </c>
    </row>
    <row r="208" ht="15.75" customHeight="1">
      <c r="Z208" s="11" t="str">
        <f>IFERROR(IF(Transactions!B210="Expense",Transactions!E210+ROW()/10000000,""),"")</f>
        <v/>
      </c>
      <c r="AA208" s="31" t="str">
        <f>IFERROR(IF(Transactions!B210="Expense",Transactions!A210,""),"")</f>
        <v/>
      </c>
      <c r="AB208" s="11" t="str">
        <f>IFERROR(IF(Transactions!B210="Expense",Transactions!C210,""),"")</f>
        <v/>
      </c>
      <c r="AC208" s="11" t="str">
        <f>IFERROR(IF(Transactions!B210="Expense",Transactions!D210,""),"")</f>
        <v/>
      </c>
      <c r="AD208" s="11" t="str">
        <f>IFERROR(IF(Transactions!B210="Expense",Transactions!E210,""),"")</f>
        <v/>
      </c>
    </row>
    <row r="209" ht="15.75" customHeight="1">
      <c r="Z209" s="11" t="str">
        <f>IFERROR(IF(Transactions!B211="Expense",Transactions!E211+ROW()/10000000,""),"")</f>
        <v/>
      </c>
      <c r="AA209" s="31" t="str">
        <f>IFERROR(IF(Transactions!B211="Expense",Transactions!A211,""),"")</f>
        <v/>
      </c>
      <c r="AB209" s="11" t="str">
        <f>IFERROR(IF(Transactions!B211="Expense",Transactions!C211,""),"")</f>
        <v/>
      </c>
      <c r="AC209" s="11" t="str">
        <f>IFERROR(IF(Transactions!B211="Expense",Transactions!D211,""),"")</f>
        <v/>
      </c>
      <c r="AD209" s="11" t="str">
        <f>IFERROR(IF(Transactions!B211="Expense",Transactions!E211,""),"")</f>
        <v/>
      </c>
    </row>
    <row r="210" ht="15.75" customHeight="1">
      <c r="Z210" s="11" t="str">
        <f>IFERROR(IF(Transactions!B212="Expense",Transactions!E212+ROW()/10000000,""),"")</f>
        <v/>
      </c>
      <c r="AA210" s="31" t="str">
        <f>IFERROR(IF(Transactions!B212="Expense",Transactions!A212,""),"")</f>
        <v/>
      </c>
      <c r="AB210" s="11" t="str">
        <f>IFERROR(IF(Transactions!B212="Expense",Transactions!C212,""),"")</f>
        <v/>
      </c>
      <c r="AC210" s="11" t="str">
        <f>IFERROR(IF(Transactions!B212="Expense",Transactions!D212,""),"")</f>
        <v/>
      </c>
      <c r="AD210" s="11" t="str">
        <f>IFERROR(IF(Transactions!B212="Expense",Transactions!E212,""),"")</f>
        <v/>
      </c>
    </row>
    <row r="211" ht="15.75" customHeight="1">
      <c r="Z211" s="11" t="str">
        <f>IFERROR(IF(Transactions!B213="Expense",Transactions!E213+ROW()/10000000,""),"")</f>
        <v/>
      </c>
      <c r="AA211" s="31" t="str">
        <f>IFERROR(IF(Transactions!B213="Expense",Transactions!A213,""),"")</f>
        <v/>
      </c>
      <c r="AB211" s="11" t="str">
        <f>IFERROR(IF(Transactions!B213="Expense",Transactions!C213,""),"")</f>
        <v/>
      </c>
      <c r="AC211" s="11" t="str">
        <f>IFERROR(IF(Transactions!B213="Expense",Transactions!D213,""),"")</f>
        <v/>
      </c>
      <c r="AD211" s="11" t="str">
        <f>IFERROR(IF(Transactions!B213="Expense",Transactions!E213,""),"")</f>
        <v/>
      </c>
    </row>
    <row r="212" ht="15.75" customHeight="1">
      <c r="Z212" s="11" t="str">
        <f>IFERROR(IF(Transactions!B214="Expense",Transactions!E214+ROW()/10000000,""),"")</f>
        <v/>
      </c>
      <c r="AA212" s="31" t="str">
        <f>IFERROR(IF(Transactions!B214="Expense",Transactions!A214,""),"")</f>
        <v/>
      </c>
      <c r="AB212" s="11" t="str">
        <f>IFERROR(IF(Transactions!B214="Expense",Transactions!C214,""),"")</f>
        <v/>
      </c>
      <c r="AC212" s="11" t="str">
        <f>IFERROR(IF(Transactions!B214="Expense",Transactions!D214,""),"")</f>
        <v/>
      </c>
      <c r="AD212" s="11" t="str">
        <f>IFERROR(IF(Transactions!B214="Expense",Transactions!E214,""),"")</f>
        <v/>
      </c>
    </row>
    <row r="213" ht="15.75" customHeight="1">
      <c r="Z213" s="11" t="str">
        <f>IFERROR(IF(Transactions!B215="Expense",Transactions!E215+ROW()/10000000,""),"")</f>
        <v/>
      </c>
      <c r="AA213" s="31" t="str">
        <f>IFERROR(IF(Transactions!B215="Expense",Transactions!A215,""),"")</f>
        <v/>
      </c>
      <c r="AB213" s="11" t="str">
        <f>IFERROR(IF(Transactions!B215="Expense",Transactions!C215,""),"")</f>
        <v/>
      </c>
      <c r="AC213" s="11" t="str">
        <f>IFERROR(IF(Transactions!B215="Expense",Transactions!D215,""),"")</f>
        <v/>
      </c>
      <c r="AD213" s="11" t="str">
        <f>IFERROR(IF(Transactions!B215="Expense",Transactions!E215,""),"")</f>
        <v/>
      </c>
    </row>
    <row r="214" ht="15.75" customHeight="1">
      <c r="Z214" s="11" t="str">
        <f>IFERROR(IF(Transactions!B216="Expense",Transactions!E216+ROW()/10000000,""),"")</f>
        <v/>
      </c>
      <c r="AA214" s="31" t="str">
        <f>IFERROR(IF(Transactions!B216="Expense",Transactions!A216,""),"")</f>
        <v/>
      </c>
      <c r="AB214" s="11" t="str">
        <f>IFERROR(IF(Transactions!B216="Expense",Transactions!C216,""),"")</f>
        <v/>
      </c>
      <c r="AC214" s="11" t="str">
        <f>IFERROR(IF(Transactions!B216="Expense",Transactions!D216,""),"")</f>
        <v/>
      </c>
      <c r="AD214" s="11" t="str">
        <f>IFERROR(IF(Transactions!B216="Expense",Transactions!E216,""),"")</f>
        <v/>
      </c>
    </row>
    <row r="215" ht="15.75" customHeight="1">
      <c r="Z215" s="11" t="str">
        <f>IFERROR(IF(Transactions!B217="Expense",Transactions!E217+ROW()/10000000,""),"")</f>
        <v/>
      </c>
      <c r="AA215" s="31" t="str">
        <f>IFERROR(IF(Transactions!B217="Expense",Transactions!A217,""),"")</f>
        <v/>
      </c>
      <c r="AB215" s="11" t="str">
        <f>IFERROR(IF(Transactions!B217="Expense",Transactions!C217,""),"")</f>
        <v/>
      </c>
      <c r="AC215" s="11" t="str">
        <f>IFERROR(IF(Transactions!B217="Expense",Transactions!D217,""),"")</f>
        <v/>
      </c>
      <c r="AD215" s="11" t="str">
        <f>IFERROR(IF(Transactions!B217="Expense",Transactions!E217,""),"")</f>
        <v/>
      </c>
    </row>
    <row r="216" ht="15.75" customHeight="1">
      <c r="Z216" s="11" t="str">
        <f>IFERROR(IF(Transactions!B218="Expense",Transactions!E218+ROW()/10000000,""),"")</f>
        <v/>
      </c>
      <c r="AA216" s="31" t="str">
        <f>IFERROR(IF(Transactions!B218="Expense",Transactions!A218,""),"")</f>
        <v/>
      </c>
      <c r="AB216" s="11" t="str">
        <f>IFERROR(IF(Transactions!B218="Expense",Transactions!C218,""),"")</f>
        <v/>
      </c>
      <c r="AC216" s="11" t="str">
        <f>IFERROR(IF(Transactions!B218="Expense",Transactions!D218,""),"")</f>
        <v/>
      </c>
      <c r="AD216" s="11" t="str">
        <f>IFERROR(IF(Transactions!B218="Expense",Transactions!E218,""),"")</f>
        <v/>
      </c>
    </row>
    <row r="217" ht="15.75" customHeight="1">
      <c r="Z217" s="11" t="str">
        <f>IFERROR(IF(Transactions!B219="Expense",Transactions!E219+ROW()/10000000,""),"")</f>
        <v/>
      </c>
      <c r="AA217" s="31" t="str">
        <f>IFERROR(IF(Transactions!B219="Expense",Transactions!A219,""),"")</f>
        <v/>
      </c>
      <c r="AB217" s="11" t="str">
        <f>IFERROR(IF(Transactions!B219="Expense",Transactions!C219,""),"")</f>
        <v/>
      </c>
      <c r="AC217" s="11" t="str">
        <f>IFERROR(IF(Transactions!B219="Expense",Transactions!D219,""),"")</f>
        <v/>
      </c>
      <c r="AD217" s="11" t="str">
        <f>IFERROR(IF(Transactions!B219="Expense",Transactions!E219,""),"")</f>
        <v/>
      </c>
    </row>
    <row r="218" ht="15.75" customHeight="1">
      <c r="Z218" s="11" t="str">
        <f>IFERROR(IF(Transactions!B220="Expense",Transactions!E220+ROW()/10000000,""),"")</f>
        <v/>
      </c>
      <c r="AA218" s="31" t="str">
        <f>IFERROR(IF(Transactions!B220="Expense",Transactions!A220,""),"")</f>
        <v/>
      </c>
      <c r="AB218" s="11" t="str">
        <f>IFERROR(IF(Transactions!B220="Expense",Transactions!C220,""),"")</f>
        <v/>
      </c>
      <c r="AC218" s="11" t="str">
        <f>IFERROR(IF(Transactions!B220="Expense",Transactions!D220,""),"")</f>
        <v/>
      </c>
      <c r="AD218" s="11" t="str">
        <f>IFERROR(IF(Transactions!B220="Expense",Transactions!E220,""),"")</f>
        <v/>
      </c>
    </row>
    <row r="219" ht="15.75" customHeight="1">
      <c r="Z219" s="11" t="str">
        <f>IFERROR(IF(Transactions!B221="Expense",Transactions!E221+ROW()/10000000,""),"")</f>
        <v/>
      </c>
      <c r="AA219" s="31" t="str">
        <f>IFERROR(IF(Transactions!B221="Expense",Transactions!A221,""),"")</f>
        <v/>
      </c>
      <c r="AB219" s="11" t="str">
        <f>IFERROR(IF(Transactions!B221="Expense",Transactions!C221,""),"")</f>
        <v/>
      </c>
      <c r="AC219" s="11" t="str">
        <f>IFERROR(IF(Transactions!B221="Expense",Transactions!D221,""),"")</f>
        <v/>
      </c>
      <c r="AD219" s="11" t="str">
        <f>IFERROR(IF(Transactions!B221="Expense",Transactions!E221,""),"")</f>
        <v/>
      </c>
    </row>
    <row r="220" ht="15.75" customHeight="1">
      <c r="Z220" s="11" t="str">
        <f>IFERROR(IF(Transactions!B222="Expense",Transactions!E222+ROW()/10000000,""),"")</f>
        <v/>
      </c>
      <c r="AA220" s="31" t="str">
        <f>IFERROR(IF(Transactions!B222="Expense",Transactions!A222,""),"")</f>
        <v/>
      </c>
      <c r="AB220" s="11" t="str">
        <f>IFERROR(IF(Transactions!B222="Expense",Transactions!C222,""),"")</f>
        <v/>
      </c>
      <c r="AC220" s="11" t="str">
        <f>IFERROR(IF(Transactions!B222="Expense",Transactions!D222,""),"")</f>
        <v/>
      </c>
      <c r="AD220" s="11" t="str">
        <f>IFERROR(IF(Transactions!B222="Expense",Transactions!E222,""),"")</f>
        <v/>
      </c>
    </row>
    <row r="221" ht="15.75" customHeight="1">
      <c r="Z221" s="11" t="str">
        <f>IFERROR(IF(Transactions!B223="Expense",Transactions!E223+ROW()/10000000,""),"")</f>
        <v/>
      </c>
      <c r="AA221" s="31" t="str">
        <f>IFERROR(IF(Transactions!B223="Expense",Transactions!A223,""),"")</f>
        <v/>
      </c>
      <c r="AB221" s="11" t="str">
        <f>IFERROR(IF(Transactions!B223="Expense",Transactions!C223,""),"")</f>
        <v/>
      </c>
      <c r="AC221" s="11" t="str">
        <f>IFERROR(IF(Transactions!B223="Expense",Transactions!D223,""),"")</f>
        <v/>
      </c>
      <c r="AD221" s="11" t="str">
        <f>IFERROR(IF(Transactions!B223="Expense",Transactions!E223,""),"")</f>
        <v/>
      </c>
    </row>
    <row r="222" ht="15.75" customHeight="1">
      <c r="Z222" s="11" t="str">
        <f>IFERROR(IF(Transactions!B224="Expense",Transactions!E224+ROW()/10000000,""),"")</f>
        <v/>
      </c>
      <c r="AA222" s="31" t="str">
        <f>IFERROR(IF(Transactions!B224="Expense",Transactions!A224,""),"")</f>
        <v/>
      </c>
      <c r="AB222" s="11" t="str">
        <f>IFERROR(IF(Transactions!B224="Expense",Transactions!C224,""),"")</f>
        <v/>
      </c>
      <c r="AC222" s="11" t="str">
        <f>IFERROR(IF(Transactions!B224="Expense",Transactions!D224,""),"")</f>
        <v/>
      </c>
      <c r="AD222" s="11" t="str">
        <f>IFERROR(IF(Transactions!B224="Expense",Transactions!E224,""),"")</f>
        <v/>
      </c>
    </row>
    <row r="223" ht="15.75" customHeight="1">
      <c r="Z223" s="11" t="str">
        <f>IFERROR(IF(Transactions!B225="Expense",Transactions!E225+ROW()/10000000,""),"")</f>
        <v/>
      </c>
      <c r="AA223" s="31" t="str">
        <f>IFERROR(IF(Transactions!B225="Expense",Transactions!A225,""),"")</f>
        <v/>
      </c>
      <c r="AB223" s="11" t="str">
        <f>IFERROR(IF(Transactions!B225="Expense",Transactions!C225,""),"")</f>
        <v/>
      </c>
      <c r="AC223" s="11" t="str">
        <f>IFERROR(IF(Transactions!B225="Expense",Transactions!D225,""),"")</f>
        <v/>
      </c>
      <c r="AD223" s="11" t="str">
        <f>IFERROR(IF(Transactions!B225="Expense",Transactions!E225,""),"")</f>
        <v/>
      </c>
    </row>
    <row r="224" ht="15.75" customHeight="1">
      <c r="Z224" s="11" t="str">
        <f>IFERROR(IF(Transactions!B226="Expense",Transactions!E226+ROW()/10000000,""),"")</f>
        <v/>
      </c>
      <c r="AA224" s="31" t="str">
        <f>IFERROR(IF(Transactions!B226="Expense",Transactions!A226,""),"")</f>
        <v/>
      </c>
      <c r="AB224" s="11" t="str">
        <f>IFERROR(IF(Transactions!B226="Expense",Transactions!C226,""),"")</f>
        <v/>
      </c>
      <c r="AC224" s="11" t="str">
        <f>IFERROR(IF(Transactions!B226="Expense",Transactions!D226,""),"")</f>
        <v/>
      </c>
      <c r="AD224" s="11" t="str">
        <f>IFERROR(IF(Transactions!B226="Expense",Transactions!E226,""),"")</f>
        <v/>
      </c>
    </row>
    <row r="225" ht="15.75" customHeight="1">
      <c r="Z225" s="11" t="str">
        <f>IFERROR(IF(Transactions!B227="Expense",Transactions!E227+ROW()/10000000,""),"")</f>
        <v/>
      </c>
      <c r="AA225" s="31" t="str">
        <f>IFERROR(IF(Transactions!B227="Expense",Transactions!A227,""),"")</f>
        <v/>
      </c>
      <c r="AB225" s="11" t="str">
        <f>IFERROR(IF(Transactions!B227="Expense",Transactions!C227,""),"")</f>
        <v/>
      </c>
      <c r="AC225" s="11" t="str">
        <f>IFERROR(IF(Transactions!B227="Expense",Transactions!D227,""),"")</f>
        <v/>
      </c>
      <c r="AD225" s="11" t="str">
        <f>IFERROR(IF(Transactions!B227="Expense",Transactions!E227,""),"")</f>
        <v/>
      </c>
    </row>
    <row r="226" ht="15.75" customHeight="1">
      <c r="Z226" s="11" t="str">
        <f>IFERROR(IF(Transactions!B228="Expense",Transactions!E228+ROW()/10000000,""),"")</f>
        <v/>
      </c>
      <c r="AA226" s="31" t="str">
        <f>IFERROR(IF(Transactions!B228="Expense",Transactions!A228,""),"")</f>
        <v/>
      </c>
      <c r="AB226" s="11" t="str">
        <f>IFERROR(IF(Transactions!B228="Expense",Transactions!C228,""),"")</f>
        <v/>
      </c>
      <c r="AC226" s="11" t="str">
        <f>IFERROR(IF(Transactions!B228="Expense",Transactions!D228,""),"")</f>
        <v/>
      </c>
      <c r="AD226" s="11" t="str">
        <f>IFERROR(IF(Transactions!B228="Expense",Transactions!E228,""),"")</f>
        <v/>
      </c>
    </row>
    <row r="227" ht="15.75" customHeight="1">
      <c r="Z227" s="11" t="str">
        <f>IFERROR(IF(Transactions!B229="Expense",Transactions!E229+ROW()/10000000,""),"")</f>
        <v/>
      </c>
      <c r="AA227" s="31" t="str">
        <f>IFERROR(IF(Transactions!B229="Expense",Transactions!A229,""),"")</f>
        <v/>
      </c>
      <c r="AB227" s="11" t="str">
        <f>IFERROR(IF(Transactions!B229="Expense",Transactions!C229,""),"")</f>
        <v/>
      </c>
      <c r="AC227" s="11" t="str">
        <f>IFERROR(IF(Transactions!B229="Expense",Transactions!D229,""),"")</f>
        <v/>
      </c>
      <c r="AD227" s="11" t="str">
        <f>IFERROR(IF(Transactions!B229="Expense",Transactions!E229,""),"")</f>
        <v/>
      </c>
    </row>
    <row r="228" ht="15.75" customHeight="1">
      <c r="Z228" s="11" t="str">
        <f>IFERROR(IF(Transactions!B230="Expense",Transactions!E230+ROW()/10000000,""),"")</f>
        <v/>
      </c>
      <c r="AA228" s="31" t="str">
        <f>IFERROR(IF(Transactions!B230="Expense",Transactions!A230,""),"")</f>
        <v/>
      </c>
      <c r="AB228" s="11" t="str">
        <f>IFERROR(IF(Transactions!B230="Expense",Transactions!C230,""),"")</f>
        <v/>
      </c>
      <c r="AC228" s="11" t="str">
        <f>IFERROR(IF(Transactions!B230="Expense",Transactions!D230,""),"")</f>
        <v/>
      </c>
      <c r="AD228" s="11" t="str">
        <f>IFERROR(IF(Transactions!B230="Expense",Transactions!E230,""),"")</f>
        <v/>
      </c>
    </row>
    <row r="229" ht="15.75" customHeight="1">
      <c r="Z229" s="11" t="str">
        <f>IFERROR(IF(Transactions!B231="Expense",Transactions!E231+ROW()/10000000,""),"")</f>
        <v/>
      </c>
      <c r="AA229" s="31" t="str">
        <f>IFERROR(IF(Transactions!B231="Expense",Transactions!A231,""),"")</f>
        <v/>
      </c>
      <c r="AB229" s="11" t="str">
        <f>IFERROR(IF(Transactions!B231="Expense",Transactions!C231,""),"")</f>
        <v/>
      </c>
      <c r="AC229" s="11" t="str">
        <f>IFERROR(IF(Transactions!B231="Expense",Transactions!D231,""),"")</f>
        <v/>
      </c>
      <c r="AD229" s="11" t="str">
        <f>IFERROR(IF(Transactions!B231="Expense",Transactions!E231,""),"")</f>
        <v/>
      </c>
    </row>
    <row r="230" ht="15.75" customHeight="1">
      <c r="Z230" s="11" t="str">
        <f>IFERROR(IF(Transactions!B232="Expense",Transactions!E232+ROW()/10000000,""),"")</f>
        <v/>
      </c>
      <c r="AA230" s="31" t="str">
        <f>IFERROR(IF(Transactions!B232="Expense",Transactions!A232,""),"")</f>
        <v/>
      </c>
      <c r="AB230" s="11" t="str">
        <f>IFERROR(IF(Transactions!B232="Expense",Transactions!C232,""),"")</f>
        <v/>
      </c>
      <c r="AC230" s="11" t="str">
        <f>IFERROR(IF(Transactions!B232="Expense",Transactions!D232,""),"")</f>
        <v/>
      </c>
      <c r="AD230" s="11" t="str">
        <f>IFERROR(IF(Transactions!B232="Expense",Transactions!E232,""),"")</f>
        <v/>
      </c>
    </row>
    <row r="231" ht="15.75" customHeight="1">
      <c r="Z231" s="11" t="str">
        <f>IFERROR(IF(Transactions!B233="Expense",Transactions!E233+ROW()/10000000,""),"")</f>
        <v/>
      </c>
      <c r="AA231" s="31" t="str">
        <f>IFERROR(IF(Transactions!B233="Expense",Transactions!A233,""),"")</f>
        <v/>
      </c>
      <c r="AB231" s="11" t="str">
        <f>IFERROR(IF(Transactions!B233="Expense",Transactions!C233,""),"")</f>
        <v/>
      </c>
      <c r="AC231" s="11" t="str">
        <f>IFERROR(IF(Transactions!B233="Expense",Transactions!D233,""),"")</f>
        <v/>
      </c>
      <c r="AD231" s="11" t="str">
        <f>IFERROR(IF(Transactions!B233="Expense",Transactions!E233,""),"")</f>
        <v/>
      </c>
    </row>
    <row r="232" ht="15.75" customHeight="1">
      <c r="Z232" s="11" t="str">
        <f>IFERROR(IF(Transactions!B234="Expense",Transactions!E234+ROW()/10000000,""),"")</f>
        <v/>
      </c>
      <c r="AA232" s="31" t="str">
        <f>IFERROR(IF(Transactions!B234="Expense",Transactions!A234,""),"")</f>
        <v/>
      </c>
      <c r="AB232" s="11" t="str">
        <f>IFERROR(IF(Transactions!B234="Expense",Transactions!C234,""),"")</f>
        <v/>
      </c>
      <c r="AC232" s="11" t="str">
        <f>IFERROR(IF(Transactions!B234="Expense",Transactions!D234,""),"")</f>
        <v/>
      </c>
      <c r="AD232" s="11" t="str">
        <f>IFERROR(IF(Transactions!B234="Expense",Transactions!E234,""),"")</f>
        <v/>
      </c>
    </row>
    <row r="233" ht="15.75" customHeight="1">
      <c r="Z233" s="11" t="str">
        <f>IFERROR(IF(Transactions!B235="Expense",Transactions!E235+ROW()/10000000,""),"")</f>
        <v/>
      </c>
      <c r="AA233" s="31" t="str">
        <f>IFERROR(IF(Transactions!B235="Expense",Transactions!A235,""),"")</f>
        <v/>
      </c>
      <c r="AB233" s="11" t="str">
        <f>IFERROR(IF(Transactions!B235="Expense",Transactions!C235,""),"")</f>
        <v/>
      </c>
      <c r="AC233" s="11" t="str">
        <f>IFERROR(IF(Transactions!B235="Expense",Transactions!D235,""),"")</f>
        <v/>
      </c>
      <c r="AD233" s="11" t="str">
        <f>IFERROR(IF(Transactions!B235="Expense",Transactions!E235,""),"")</f>
        <v/>
      </c>
    </row>
    <row r="234" ht="15.75" customHeight="1">
      <c r="Z234" s="11" t="str">
        <f>IFERROR(IF(Transactions!B236="Expense",Transactions!E236+ROW()/10000000,""),"")</f>
        <v/>
      </c>
      <c r="AA234" s="31" t="str">
        <f>IFERROR(IF(Transactions!B236="Expense",Transactions!A236,""),"")</f>
        <v/>
      </c>
      <c r="AB234" s="11" t="str">
        <f>IFERROR(IF(Transactions!B236="Expense",Transactions!C236,""),"")</f>
        <v/>
      </c>
      <c r="AC234" s="11" t="str">
        <f>IFERROR(IF(Transactions!B236="Expense",Transactions!D236,""),"")</f>
        <v/>
      </c>
      <c r="AD234" s="11" t="str">
        <f>IFERROR(IF(Transactions!B236="Expense",Transactions!E236,""),"")</f>
        <v/>
      </c>
    </row>
    <row r="235" ht="15.75" customHeight="1">
      <c r="Z235" s="11" t="str">
        <f>IFERROR(IF(Transactions!B237="Expense",Transactions!E237+ROW()/10000000,""),"")</f>
        <v/>
      </c>
      <c r="AA235" s="31" t="str">
        <f>IFERROR(IF(Transactions!B237="Expense",Transactions!A237,""),"")</f>
        <v/>
      </c>
      <c r="AB235" s="11" t="str">
        <f>IFERROR(IF(Transactions!B237="Expense",Transactions!C237,""),"")</f>
        <v/>
      </c>
      <c r="AC235" s="11" t="str">
        <f>IFERROR(IF(Transactions!B237="Expense",Transactions!D237,""),"")</f>
        <v/>
      </c>
      <c r="AD235" s="11" t="str">
        <f>IFERROR(IF(Transactions!B237="Expense",Transactions!E237,""),"")</f>
        <v/>
      </c>
    </row>
    <row r="236" ht="15.75" customHeight="1">
      <c r="Z236" s="11" t="str">
        <f>IFERROR(IF(Transactions!B238="Expense",Transactions!E238+ROW()/10000000,""),"")</f>
        <v/>
      </c>
      <c r="AA236" s="31" t="str">
        <f>IFERROR(IF(Transactions!B238="Expense",Transactions!A238,""),"")</f>
        <v/>
      </c>
      <c r="AB236" s="11" t="str">
        <f>IFERROR(IF(Transactions!B238="Expense",Transactions!C238,""),"")</f>
        <v/>
      </c>
      <c r="AC236" s="11" t="str">
        <f>IFERROR(IF(Transactions!B238="Expense",Transactions!D238,""),"")</f>
        <v/>
      </c>
      <c r="AD236" s="11" t="str">
        <f>IFERROR(IF(Transactions!B238="Expense",Transactions!E238,""),"")</f>
        <v/>
      </c>
    </row>
    <row r="237" ht="15.75" customHeight="1">
      <c r="Z237" s="11" t="str">
        <f>IFERROR(IF(Transactions!B239="Expense",Transactions!E239+ROW()/10000000,""),"")</f>
        <v/>
      </c>
      <c r="AA237" s="31" t="str">
        <f>IFERROR(IF(Transactions!B239="Expense",Transactions!A239,""),"")</f>
        <v/>
      </c>
      <c r="AB237" s="11" t="str">
        <f>IFERROR(IF(Transactions!B239="Expense",Transactions!C239,""),"")</f>
        <v/>
      </c>
      <c r="AC237" s="11" t="str">
        <f>IFERROR(IF(Transactions!B239="Expense",Transactions!D239,""),"")</f>
        <v/>
      </c>
      <c r="AD237" s="11" t="str">
        <f>IFERROR(IF(Transactions!B239="Expense",Transactions!E239,""),"")</f>
        <v/>
      </c>
    </row>
    <row r="238" ht="15.75" customHeight="1">
      <c r="Z238" s="11" t="str">
        <f>IFERROR(IF(Transactions!B240="Expense",Transactions!E240+ROW()/10000000,""),"")</f>
        <v/>
      </c>
      <c r="AA238" s="31" t="str">
        <f>IFERROR(IF(Transactions!B240="Expense",Transactions!A240,""),"")</f>
        <v/>
      </c>
      <c r="AB238" s="11" t="str">
        <f>IFERROR(IF(Transactions!B240="Expense",Transactions!C240,""),"")</f>
        <v/>
      </c>
      <c r="AC238" s="11" t="str">
        <f>IFERROR(IF(Transactions!B240="Expense",Transactions!D240,""),"")</f>
        <v/>
      </c>
      <c r="AD238" s="11" t="str">
        <f>IFERROR(IF(Transactions!B240="Expense",Transactions!E240,""),"")</f>
        <v/>
      </c>
    </row>
    <row r="239" ht="15.75" customHeight="1">
      <c r="Z239" s="11" t="str">
        <f>IFERROR(IF(Transactions!B241="Expense",Transactions!E241+ROW()/10000000,""),"")</f>
        <v/>
      </c>
      <c r="AA239" s="31" t="str">
        <f>IFERROR(IF(Transactions!B241="Expense",Transactions!A241,""),"")</f>
        <v/>
      </c>
      <c r="AB239" s="11" t="str">
        <f>IFERROR(IF(Transactions!B241="Expense",Transactions!C241,""),"")</f>
        <v/>
      </c>
      <c r="AC239" s="11" t="str">
        <f>IFERROR(IF(Transactions!B241="Expense",Transactions!D241,""),"")</f>
        <v/>
      </c>
      <c r="AD239" s="11" t="str">
        <f>IFERROR(IF(Transactions!B241="Expense",Transactions!E241,""),"")</f>
        <v/>
      </c>
    </row>
    <row r="240" ht="15.75" customHeight="1">
      <c r="Z240" s="11" t="str">
        <f>IFERROR(IF(Transactions!B242="Expense",Transactions!E242+ROW()/10000000,""),"")</f>
        <v/>
      </c>
      <c r="AA240" s="31" t="str">
        <f>IFERROR(IF(Transactions!B242="Expense",Transactions!A242,""),"")</f>
        <v/>
      </c>
      <c r="AB240" s="11" t="str">
        <f>IFERROR(IF(Transactions!B242="Expense",Transactions!C242,""),"")</f>
        <v/>
      </c>
      <c r="AC240" s="11" t="str">
        <f>IFERROR(IF(Transactions!B242="Expense",Transactions!D242,""),"")</f>
        <v/>
      </c>
      <c r="AD240" s="11" t="str">
        <f>IFERROR(IF(Transactions!B242="Expense",Transactions!E242,""),"")</f>
        <v/>
      </c>
    </row>
    <row r="241" ht="15.75" customHeight="1">
      <c r="Z241" s="11" t="str">
        <f>IFERROR(IF(Transactions!B243="Expense",Transactions!E243+ROW()/10000000,""),"")</f>
        <v/>
      </c>
      <c r="AA241" s="31" t="str">
        <f>IFERROR(IF(Transactions!B243="Expense",Transactions!A243,""),"")</f>
        <v/>
      </c>
      <c r="AB241" s="11" t="str">
        <f>IFERROR(IF(Transactions!B243="Expense",Transactions!C243,""),"")</f>
        <v/>
      </c>
      <c r="AC241" s="11" t="str">
        <f>IFERROR(IF(Transactions!B243="Expense",Transactions!D243,""),"")</f>
        <v/>
      </c>
      <c r="AD241" s="11" t="str">
        <f>IFERROR(IF(Transactions!B243="Expense",Transactions!E243,""),"")</f>
        <v/>
      </c>
    </row>
    <row r="242" ht="15.75" customHeight="1">
      <c r="Z242" s="11" t="str">
        <f>IFERROR(IF(Transactions!B244="Expense",Transactions!E244+ROW()/10000000,""),"")</f>
        <v/>
      </c>
      <c r="AA242" s="31" t="str">
        <f>IFERROR(IF(Transactions!B244="Expense",Transactions!A244,""),"")</f>
        <v/>
      </c>
      <c r="AB242" s="11" t="str">
        <f>IFERROR(IF(Transactions!B244="Expense",Transactions!C244,""),"")</f>
        <v/>
      </c>
      <c r="AC242" s="11" t="str">
        <f>IFERROR(IF(Transactions!B244="Expense",Transactions!D244,""),"")</f>
        <v/>
      </c>
      <c r="AD242" s="11" t="str">
        <f>IFERROR(IF(Transactions!B244="Expense",Transactions!E244,""),"")</f>
        <v/>
      </c>
    </row>
    <row r="243" ht="15.75" customHeight="1">
      <c r="Z243" s="11" t="str">
        <f>IFERROR(IF(Transactions!B245="Expense",Transactions!E245+ROW()/10000000,""),"")</f>
        <v/>
      </c>
      <c r="AA243" s="31" t="str">
        <f>IFERROR(IF(Transactions!B245="Expense",Transactions!A245,""),"")</f>
        <v/>
      </c>
      <c r="AB243" s="11" t="str">
        <f>IFERROR(IF(Transactions!B245="Expense",Transactions!C245,""),"")</f>
        <v/>
      </c>
      <c r="AC243" s="11" t="str">
        <f>IFERROR(IF(Transactions!B245="Expense",Transactions!D245,""),"")</f>
        <v/>
      </c>
      <c r="AD243" s="11" t="str">
        <f>IFERROR(IF(Transactions!B245="Expense",Transactions!E245,""),"")</f>
        <v/>
      </c>
    </row>
    <row r="244" ht="15.75" customHeight="1">
      <c r="Z244" s="11" t="str">
        <f>IFERROR(IF(Transactions!B246="Expense",Transactions!E246+ROW()/10000000,""),"")</f>
        <v/>
      </c>
      <c r="AA244" s="31" t="str">
        <f>IFERROR(IF(Transactions!B246="Expense",Transactions!A246,""),"")</f>
        <v/>
      </c>
      <c r="AB244" s="11" t="str">
        <f>IFERROR(IF(Transactions!B246="Expense",Transactions!C246,""),"")</f>
        <v/>
      </c>
      <c r="AC244" s="11" t="str">
        <f>IFERROR(IF(Transactions!B246="Expense",Transactions!D246,""),"")</f>
        <v/>
      </c>
      <c r="AD244" s="11" t="str">
        <f>IFERROR(IF(Transactions!B246="Expense",Transactions!E246,""),"")</f>
        <v/>
      </c>
    </row>
    <row r="245" ht="15.75" customHeight="1">
      <c r="Z245" s="11" t="str">
        <f>IFERROR(IF(Transactions!B247="Expense",Transactions!E247+ROW()/10000000,""),"")</f>
        <v/>
      </c>
      <c r="AA245" s="31" t="str">
        <f>IFERROR(IF(Transactions!B247="Expense",Transactions!A247,""),"")</f>
        <v/>
      </c>
      <c r="AB245" s="11" t="str">
        <f>IFERROR(IF(Transactions!B247="Expense",Transactions!C247,""),"")</f>
        <v/>
      </c>
      <c r="AC245" s="11" t="str">
        <f>IFERROR(IF(Transactions!B247="Expense",Transactions!D247,""),"")</f>
        <v/>
      </c>
      <c r="AD245" s="11" t="str">
        <f>IFERROR(IF(Transactions!B247="Expense",Transactions!E247,""),"")</f>
        <v/>
      </c>
    </row>
    <row r="246" ht="15.75" customHeight="1">
      <c r="Z246" s="11" t="str">
        <f>IFERROR(IF(Transactions!B248="Expense",Transactions!E248+ROW()/10000000,""),"")</f>
        <v/>
      </c>
      <c r="AA246" s="31" t="str">
        <f>IFERROR(IF(Transactions!B248="Expense",Transactions!A248,""),"")</f>
        <v/>
      </c>
      <c r="AB246" s="11" t="str">
        <f>IFERROR(IF(Transactions!B248="Expense",Transactions!C248,""),"")</f>
        <v/>
      </c>
      <c r="AC246" s="11" t="str">
        <f>IFERROR(IF(Transactions!B248="Expense",Transactions!D248,""),"")</f>
        <v/>
      </c>
      <c r="AD246" s="11" t="str">
        <f>IFERROR(IF(Transactions!B248="Expense",Transactions!E248,""),"")</f>
        <v/>
      </c>
    </row>
    <row r="247" ht="15.75" customHeight="1">
      <c r="Z247" s="11" t="str">
        <f>IFERROR(IF(Transactions!B249="Expense",Transactions!E249+ROW()/10000000,""),"")</f>
        <v/>
      </c>
      <c r="AA247" s="31" t="str">
        <f>IFERROR(IF(Transactions!B249="Expense",Transactions!A249,""),"")</f>
        <v/>
      </c>
      <c r="AB247" s="11" t="str">
        <f>IFERROR(IF(Transactions!B249="Expense",Transactions!C249,""),"")</f>
        <v/>
      </c>
      <c r="AC247" s="11" t="str">
        <f>IFERROR(IF(Transactions!B249="Expense",Transactions!D249,""),"")</f>
        <v/>
      </c>
      <c r="AD247" s="11" t="str">
        <f>IFERROR(IF(Transactions!B249="Expense",Transactions!E249,""),"")</f>
        <v/>
      </c>
    </row>
    <row r="248" ht="15.75" customHeight="1">
      <c r="Z248" s="11" t="str">
        <f>IFERROR(IF(Transactions!B250="Expense",Transactions!E250+ROW()/10000000,""),"")</f>
        <v/>
      </c>
      <c r="AA248" s="31" t="str">
        <f>IFERROR(IF(Transactions!B250="Expense",Transactions!A250,""),"")</f>
        <v/>
      </c>
      <c r="AB248" s="11" t="str">
        <f>IFERROR(IF(Transactions!B250="Expense",Transactions!C250,""),"")</f>
        <v/>
      </c>
      <c r="AC248" s="11" t="str">
        <f>IFERROR(IF(Transactions!B250="Expense",Transactions!D250,""),"")</f>
        <v/>
      </c>
      <c r="AD248" s="11" t="str">
        <f>IFERROR(IF(Transactions!B250="Expense",Transactions!E250,""),"")</f>
        <v/>
      </c>
    </row>
    <row r="249" ht="15.75" customHeight="1">
      <c r="Z249" s="11" t="str">
        <f>IFERROR(IF(Transactions!B251="Expense",Transactions!E251+ROW()/10000000,""),"")</f>
        <v/>
      </c>
      <c r="AA249" s="31" t="str">
        <f>IFERROR(IF(Transactions!B251="Expense",Transactions!A251,""),"")</f>
        <v/>
      </c>
      <c r="AB249" s="11" t="str">
        <f>IFERROR(IF(Transactions!B251="Expense",Transactions!C251,""),"")</f>
        <v/>
      </c>
      <c r="AC249" s="11" t="str">
        <f>IFERROR(IF(Transactions!B251="Expense",Transactions!D251,""),"")</f>
        <v/>
      </c>
      <c r="AD249" s="11" t="str">
        <f>IFERROR(IF(Transactions!B251="Expense",Transactions!E251,""),"")</f>
        <v/>
      </c>
    </row>
    <row r="250" ht="15.75" customHeight="1">
      <c r="Z250" s="11" t="str">
        <f>IFERROR(IF(Transactions!B252="Expense",Transactions!E252+ROW()/10000000,""),"")</f>
        <v/>
      </c>
      <c r="AA250" s="31" t="str">
        <f>IFERROR(IF(Transactions!B252="Expense",Transactions!A252,""),"")</f>
        <v/>
      </c>
      <c r="AB250" s="11" t="str">
        <f>IFERROR(IF(Transactions!B252="Expense",Transactions!C252,""),"")</f>
        <v/>
      </c>
      <c r="AC250" s="11" t="str">
        <f>IFERROR(IF(Transactions!B252="Expense",Transactions!D252,""),"")</f>
        <v/>
      </c>
      <c r="AD250" s="11" t="str">
        <f>IFERROR(IF(Transactions!B252="Expense",Transactions!E252,""),"")</f>
        <v/>
      </c>
    </row>
    <row r="251" ht="15.75" customHeight="1">
      <c r="Z251" s="11" t="str">
        <f>IFERROR(IF(Transactions!B253="Expense",Transactions!E253+ROW()/10000000,""),"")</f>
        <v/>
      </c>
      <c r="AA251" s="31" t="str">
        <f>IFERROR(IF(Transactions!B253="Expense",Transactions!A253,""),"")</f>
        <v/>
      </c>
      <c r="AB251" s="11" t="str">
        <f>IFERROR(IF(Transactions!B253="Expense",Transactions!C253,""),"")</f>
        <v/>
      </c>
      <c r="AC251" s="11" t="str">
        <f>IFERROR(IF(Transactions!B253="Expense",Transactions!D253,""),"")</f>
        <v/>
      </c>
      <c r="AD251" s="11" t="str">
        <f>IFERROR(IF(Transactions!B253="Expense",Transactions!E253,""),"")</f>
        <v/>
      </c>
    </row>
    <row r="252" ht="15.75" customHeight="1">
      <c r="Z252" s="11" t="str">
        <f>IFERROR(IF(Transactions!B254="Expense",Transactions!E254+ROW()/10000000,""),"")</f>
        <v/>
      </c>
      <c r="AA252" s="31" t="str">
        <f>IFERROR(IF(Transactions!B254="Expense",Transactions!A254,""),"")</f>
        <v/>
      </c>
      <c r="AB252" s="11" t="str">
        <f>IFERROR(IF(Transactions!B254="Expense",Transactions!C254,""),"")</f>
        <v/>
      </c>
      <c r="AC252" s="11" t="str">
        <f>IFERROR(IF(Transactions!B254="Expense",Transactions!D254,""),"")</f>
        <v/>
      </c>
      <c r="AD252" s="11" t="str">
        <f>IFERROR(IF(Transactions!B254="Expense",Transactions!E254,""),"")</f>
        <v/>
      </c>
    </row>
    <row r="253" ht="15.75" customHeight="1">
      <c r="Z253" s="11" t="str">
        <f>IFERROR(IF(Transactions!B255="Expense",Transactions!E255+ROW()/10000000,""),"")</f>
        <v/>
      </c>
      <c r="AA253" s="31" t="str">
        <f>IFERROR(IF(Transactions!B255="Expense",Transactions!A255,""),"")</f>
        <v/>
      </c>
      <c r="AB253" s="11" t="str">
        <f>IFERROR(IF(Transactions!B255="Expense",Transactions!C255,""),"")</f>
        <v/>
      </c>
      <c r="AC253" s="11" t="str">
        <f>IFERROR(IF(Transactions!B255="Expense",Transactions!D255,""),"")</f>
        <v/>
      </c>
      <c r="AD253" s="11" t="str">
        <f>IFERROR(IF(Transactions!B255="Expense",Transactions!E255,""),"")</f>
        <v/>
      </c>
    </row>
    <row r="254" ht="15.75" customHeight="1">
      <c r="Z254" s="11" t="str">
        <f>IFERROR(IF(Transactions!B256="Expense",Transactions!E256+ROW()/10000000,""),"")</f>
        <v/>
      </c>
      <c r="AA254" s="31" t="str">
        <f>IFERROR(IF(Transactions!B256="Expense",Transactions!A256,""),"")</f>
        <v/>
      </c>
      <c r="AB254" s="11" t="str">
        <f>IFERROR(IF(Transactions!B256="Expense",Transactions!C256,""),"")</f>
        <v/>
      </c>
      <c r="AC254" s="11" t="str">
        <f>IFERROR(IF(Transactions!B256="Expense",Transactions!D256,""),"")</f>
        <v/>
      </c>
      <c r="AD254" s="11" t="str">
        <f>IFERROR(IF(Transactions!B256="Expense",Transactions!E256,""),"")</f>
        <v/>
      </c>
    </row>
    <row r="255" ht="15.75" customHeight="1">
      <c r="Z255" s="11" t="str">
        <f>IFERROR(IF(Transactions!B257="Expense",Transactions!E257+ROW()/10000000,""),"")</f>
        <v/>
      </c>
      <c r="AA255" s="31" t="str">
        <f>IFERROR(IF(Transactions!B257="Expense",Transactions!A257,""),"")</f>
        <v/>
      </c>
      <c r="AB255" s="11" t="str">
        <f>IFERROR(IF(Transactions!B257="Expense",Transactions!C257,""),"")</f>
        <v/>
      </c>
      <c r="AC255" s="11" t="str">
        <f>IFERROR(IF(Transactions!B257="Expense",Transactions!D257,""),"")</f>
        <v/>
      </c>
      <c r="AD255" s="11" t="str">
        <f>IFERROR(IF(Transactions!B257="Expense",Transactions!E257,""),"")</f>
        <v/>
      </c>
    </row>
    <row r="256" ht="15.75" customHeight="1">
      <c r="Z256" s="11" t="str">
        <f>IFERROR(IF(Transactions!B258="Expense",Transactions!E258+ROW()/10000000,""),"")</f>
        <v/>
      </c>
      <c r="AA256" s="31" t="str">
        <f>IFERROR(IF(Transactions!B258="Expense",Transactions!A258,""),"")</f>
        <v/>
      </c>
      <c r="AB256" s="11" t="str">
        <f>IFERROR(IF(Transactions!B258="Expense",Transactions!C258,""),"")</f>
        <v/>
      </c>
      <c r="AC256" s="11" t="str">
        <f>IFERROR(IF(Transactions!B258="Expense",Transactions!D258,""),"")</f>
        <v/>
      </c>
      <c r="AD256" s="11" t="str">
        <f>IFERROR(IF(Transactions!B258="Expense",Transactions!E258,""),"")</f>
        <v/>
      </c>
    </row>
    <row r="257" ht="15.75" customHeight="1">
      <c r="Z257" s="11" t="str">
        <f>IFERROR(IF(Transactions!B259="Expense",Transactions!E259+ROW()/10000000,""),"")</f>
        <v/>
      </c>
      <c r="AA257" s="31" t="str">
        <f>IFERROR(IF(Transactions!B259="Expense",Transactions!A259,""),"")</f>
        <v/>
      </c>
      <c r="AB257" s="11" t="str">
        <f>IFERROR(IF(Transactions!B259="Expense",Transactions!C259,""),"")</f>
        <v/>
      </c>
      <c r="AC257" s="11" t="str">
        <f>IFERROR(IF(Transactions!B259="Expense",Transactions!D259,""),"")</f>
        <v/>
      </c>
      <c r="AD257" s="11" t="str">
        <f>IFERROR(IF(Transactions!B259="Expense",Transactions!E259,""),"")</f>
        <v/>
      </c>
    </row>
    <row r="258" ht="15.75" customHeight="1">
      <c r="Z258" s="11" t="str">
        <f>IFERROR(IF(Transactions!B260="Expense",Transactions!E260+ROW()/10000000,""),"")</f>
        <v/>
      </c>
      <c r="AA258" s="31" t="str">
        <f>IFERROR(IF(Transactions!B260="Expense",Transactions!A260,""),"")</f>
        <v/>
      </c>
      <c r="AB258" s="11" t="str">
        <f>IFERROR(IF(Transactions!B260="Expense",Transactions!C260,""),"")</f>
        <v/>
      </c>
      <c r="AC258" s="11" t="str">
        <f>IFERROR(IF(Transactions!B260="Expense",Transactions!D260,""),"")</f>
        <v/>
      </c>
      <c r="AD258" s="11" t="str">
        <f>IFERROR(IF(Transactions!B260="Expense",Transactions!E260,""),"")</f>
        <v/>
      </c>
    </row>
    <row r="259" ht="15.75" customHeight="1">
      <c r="Z259" s="11" t="str">
        <f>IFERROR(IF(Transactions!B261="Expense",Transactions!E261+ROW()/10000000,""),"")</f>
        <v/>
      </c>
      <c r="AA259" s="31" t="str">
        <f>IFERROR(IF(Transactions!B261="Expense",Transactions!A261,""),"")</f>
        <v/>
      </c>
      <c r="AB259" s="11" t="str">
        <f>IFERROR(IF(Transactions!B261="Expense",Transactions!C261,""),"")</f>
        <v/>
      </c>
      <c r="AC259" s="11" t="str">
        <f>IFERROR(IF(Transactions!B261="Expense",Transactions!D261,""),"")</f>
        <v/>
      </c>
      <c r="AD259" s="11" t="str">
        <f>IFERROR(IF(Transactions!B261="Expense",Transactions!E261,""),"")</f>
        <v/>
      </c>
    </row>
    <row r="260" ht="15.75" customHeight="1">
      <c r="Z260" s="11" t="str">
        <f>IFERROR(IF(Transactions!B262="Expense",Transactions!E262+ROW()/10000000,""),"")</f>
        <v/>
      </c>
      <c r="AA260" s="31" t="str">
        <f>IFERROR(IF(Transactions!B262="Expense",Transactions!A262,""),"")</f>
        <v/>
      </c>
      <c r="AB260" s="11" t="str">
        <f>IFERROR(IF(Transactions!B262="Expense",Transactions!C262,""),"")</f>
        <v/>
      </c>
      <c r="AC260" s="11" t="str">
        <f>IFERROR(IF(Transactions!B262="Expense",Transactions!D262,""),"")</f>
        <v/>
      </c>
      <c r="AD260" s="11" t="str">
        <f>IFERROR(IF(Transactions!B262="Expense",Transactions!E262,""),"")</f>
        <v/>
      </c>
    </row>
    <row r="261" ht="15.75" customHeight="1">
      <c r="Z261" s="11" t="str">
        <f>IFERROR(IF(Transactions!B263="Expense",Transactions!E263+ROW()/10000000,""),"")</f>
        <v/>
      </c>
      <c r="AA261" s="31" t="str">
        <f>IFERROR(IF(Transactions!B263="Expense",Transactions!A263,""),"")</f>
        <v/>
      </c>
      <c r="AB261" s="11" t="str">
        <f>IFERROR(IF(Transactions!B263="Expense",Transactions!C263,""),"")</f>
        <v/>
      </c>
      <c r="AC261" s="11" t="str">
        <f>IFERROR(IF(Transactions!B263="Expense",Transactions!D263,""),"")</f>
        <v/>
      </c>
      <c r="AD261" s="11" t="str">
        <f>IFERROR(IF(Transactions!B263="Expense",Transactions!E263,""),"")</f>
        <v/>
      </c>
    </row>
    <row r="262" ht="15.75" customHeight="1">
      <c r="Z262" s="11" t="str">
        <f>IFERROR(IF(Transactions!B264="Expense",Transactions!E264+ROW()/10000000,""),"")</f>
        <v/>
      </c>
      <c r="AA262" s="31" t="str">
        <f>IFERROR(IF(Transactions!B264="Expense",Transactions!A264,""),"")</f>
        <v/>
      </c>
      <c r="AB262" s="11" t="str">
        <f>IFERROR(IF(Transactions!B264="Expense",Transactions!C264,""),"")</f>
        <v/>
      </c>
      <c r="AC262" s="11" t="str">
        <f>IFERROR(IF(Transactions!B264="Expense",Transactions!D264,""),"")</f>
        <v/>
      </c>
      <c r="AD262" s="11" t="str">
        <f>IFERROR(IF(Transactions!B264="Expense",Transactions!E264,""),"")</f>
        <v/>
      </c>
    </row>
    <row r="263" ht="15.75" customHeight="1">
      <c r="Z263" s="11" t="str">
        <f>IFERROR(IF(Transactions!B265="Expense",Transactions!E265+ROW()/10000000,""),"")</f>
        <v/>
      </c>
      <c r="AA263" s="31" t="str">
        <f>IFERROR(IF(Transactions!B265="Expense",Transactions!A265,""),"")</f>
        <v/>
      </c>
      <c r="AB263" s="11" t="str">
        <f>IFERROR(IF(Transactions!B265="Expense",Transactions!C265,""),"")</f>
        <v/>
      </c>
      <c r="AC263" s="11" t="str">
        <f>IFERROR(IF(Transactions!B265="Expense",Transactions!D265,""),"")</f>
        <v/>
      </c>
      <c r="AD263" s="11" t="str">
        <f>IFERROR(IF(Transactions!B265="Expense",Transactions!E265,""),"")</f>
        <v/>
      </c>
    </row>
    <row r="264" ht="15.75" customHeight="1">
      <c r="Z264" s="11" t="str">
        <f>IFERROR(IF(Transactions!B266="Expense",Transactions!E266+ROW()/10000000,""),"")</f>
        <v/>
      </c>
      <c r="AA264" s="31" t="str">
        <f>IFERROR(IF(Transactions!B266="Expense",Transactions!A266,""),"")</f>
        <v/>
      </c>
      <c r="AB264" s="11" t="str">
        <f>IFERROR(IF(Transactions!B266="Expense",Transactions!C266,""),"")</f>
        <v/>
      </c>
      <c r="AC264" s="11" t="str">
        <f>IFERROR(IF(Transactions!B266="Expense",Transactions!D266,""),"")</f>
        <v/>
      </c>
      <c r="AD264" s="11" t="str">
        <f>IFERROR(IF(Transactions!B266="Expense",Transactions!E266,""),"")</f>
        <v/>
      </c>
    </row>
    <row r="265" ht="15.75" customHeight="1">
      <c r="Z265" s="11" t="str">
        <f>IFERROR(IF(Transactions!B267="Expense",Transactions!E267+ROW()/10000000,""),"")</f>
        <v/>
      </c>
      <c r="AA265" s="31" t="str">
        <f>IFERROR(IF(Transactions!B267="Expense",Transactions!A267,""),"")</f>
        <v/>
      </c>
      <c r="AB265" s="11" t="str">
        <f>IFERROR(IF(Transactions!B267="Expense",Transactions!C267,""),"")</f>
        <v/>
      </c>
      <c r="AC265" s="11" t="str">
        <f>IFERROR(IF(Transactions!B267="Expense",Transactions!D267,""),"")</f>
        <v/>
      </c>
      <c r="AD265" s="11" t="str">
        <f>IFERROR(IF(Transactions!B267="Expense",Transactions!E267,""),"")</f>
        <v/>
      </c>
    </row>
    <row r="266" ht="15.75" customHeight="1">
      <c r="Z266" s="11" t="str">
        <f>IFERROR(IF(Transactions!B268="Expense",Transactions!E268+ROW()/10000000,""),"")</f>
        <v/>
      </c>
      <c r="AA266" s="31" t="str">
        <f>IFERROR(IF(Transactions!B268="Expense",Transactions!A268,""),"")</f>
        <v/>
      </c>
      <c r="AB266" s="11" t="str">
        <f>IFERROR(IF(Transactions!B268="Expense",Transactions!C268,""),"")</f>
        <v/>
      </c>
      <c r="AC266" s="11" t="str">
        <f>IFERROR(IF(Transactions!B268="Expense",Transactions!D268,""),"")</f>
        <v/>
      </c>
      <c r="AD266" s="11" t="str">
        <f>IFERROR(IF(Transactions!B268="Expense",Transactions!E268,""),"")</f>
        <v/>
      </c>
    </row>
    <row r="267" ht="15.75" customHeight="1">
      <c r="Z267" s="11" t="str">
        <f>IFERROR(IF(Transactions!B269="Expense",Transactions!E269+ROW()/10000000,""),"")</f>
        <v/>
      </c>
      <c r="AA267" s="31" t="str">
        <f>IFERROR(IF(Transactions!B269="Expense",Transactions!A269,""),"")</f>
        <v/>
      </c>
      <c r="AB267" s="11" t="str">
        <f>IFERROR(IF(Transactions!B269="Expense",Transactions!C269,""),"")</f>
        <v/>
      </c>
      <c r="AC267" s="11" t="str">
        <f>IFERROR(IF(Transactions!B269="Expense",Transactions!D269,""),"")</f>
        <v/>
      </c>
      <c r="AD267" s="11" t="str">
        <f>IFERROR(IF(Transactions!B269="Expense",Transactions!E269,""),"")</f>
        <v/>
      </c>
    </row>
    <row r="268" ht="15.75" customHeight="1">
      <c r="Z268" s="11" t="str">
        <f>IFERROR(IF(Transactions!B270="Expense",Transactions!E270+ROW()/10000000,""),"")</f>
        <v/>
      </c>
      <c r="AA268" s="31" t="str">
        <f>IFERROR(IF(Transactions!B270="Expense",Transactions!A270,""),"")</f>
        <v/>
      </c>
      <c r="AB268" s="11" t="str">
        <f>IFERROR(IF(Transactions!B270="Expense",Transactions!C270,""),"")</f>
        <v/>
      </c>
      <c r="AC268" s="11" t="str">
        <f>IFERROR(IF(Transactions!B270="Expense",Transactions!D270,""),"")</f>
        <v/>
      </c>
      <c r="AD268" s="11" t="str">
        <f>IFERROR(IF(Transactions!B270="Expense",Transactions!E270,""),"")</f>
        <v/>
      </c>
    </row>
    <row r="269" ht="15.75" customHeight="1">
      <c r="Z269" s="11" t="str">
        <f>IFERROR(IF(Transactions!B271="Expense",Transactions!E271+ROW()/10000000,""),"")</f>
        <v/>
      </c>
      <c r="AA269" s="31" t="str">
        <f>IFERROR(IF(Transactions!B271="Expense",Transactions!A271,""),"")</f>
        <v/>
      </c>
      <c r="AB269" s="11" t="str">
        <f>IFERROR(IF(Transactions!B271="Expense",Transactions!C271,""),"")</f>
        <v/>
      </c>
      <c r="AC269" s="11" t="str">
        <f>IFERROR(IF(Transactions!B271="Expense",Transactions!D271,""),"")</f>
        <v/>
      </c>
      <c r="AD269" s="11" t="str">
        <f>IFERROR(IF(Transactions!B271="Expense",Transactions!E271,""),"")</f>
        <v/>
      </c>
    </row>
    <row r="270" ht="15.75" customHeight="1">
      <c r="Z270" s="11" t="str">
        <f>IFERROR(IF(Transactions!B272="Expense",Transactions!E272+ROW()/10000000,""),"")</f>
        <v/>
      </c>
      <c r="AA270" s="31" t="str">
        <f>IFERROR(IF(Transactions!B272="Expense",Transactions!A272,""),"")</f>
        <v/>
      </c>
      <c r="AB270" s="11" t="str">
        <f>IFERROR(IF(Transactions!B272="Expense",Transactions!C272,""),"")</f>
        <v/>
      </c>
      <c r="AC270" s="11" t="str">
        <f>IFERROR(IF(Transactions!B272="Expense",Transactions!D272,""),"")</f>
        <v/>
      </c>
      <c r="AD270" s="11" t="str">
        <f>IFERROR(IF(Transactions!B272="Expense",Transactions!E272,""),"")</f>
        <v/>
      </c>
    </row>
    <row r="271" ht="15.75" customHeight="1">
      <c r="Z271" s="11" t="str">
        <f>IFERROR(IF(Transactions!B273="Expense",Transactions!E273+ROW()/10000000,""),"")</f>
        <v/>
      </c>
      <c r="AA271" s="31" t="str">
        <f>IFERROR(IF(Transactions!B273="Expense",Transactions!A273,""),"")</f>
        <v/>
      </c>
      <c r="AB271" s="11" t="str">
        <f>IFERROR(IF(Transactions!B273="Expense",Transactions!C273,""),"")</f>
        <v/>
      </c>
      <c r="AC271" s="11" t="str">
        <f>IFERROR(IF(Transactions!B273="Expense",Transactions!D273,""),"")</f>
        <v/>
      </c>
      <c r="AD271" s="11" t="str">
        <f>IFERROR(IF(Transactions!B273="Expense",Transactions!E273,""),"")</f>
        <v/>
      </c>
    </row>
    <row r="272" ht="15.75" customHeight="1">
      <c r="Z272" s="11" t="str">
        <f>IFERROR(IF(Transactions!B274="Expense",Transactions!E274+ROW()/10000000,""),"")</f>
        <v/>
      </c>
      <c r="AA272" s="31" t="str">
        <f>IFERROR(IF(Transactions!B274="Expense",Transactions!A274,""),"")</f>
        <v/>
      </c>
      <c r="AB272" s="11" t="str">
        <f>IFERROR(IF(Transactions!B274="Expense",Transactions!C274,""),"")</f>
        <v/>
      </c>
      <c r="AC272" s="11" t="str">
        <f>IFERROR(IF(Transactions!B274="Expense",Transactions!D274,""),"")</f>
        <v/>
      </c>
      <c r="AD272" s="11" t="str">
        <f>IFERROR(IF(Transactions!B274="Expense",Transactions!E274,""),"")</f>
        <v/>
      </c>
    </row>
    <row r="273" ht="15.75" customHeight="1">
      <c r="Z273" s="11" t="str">
        <f>IFERROR(IF(Transactions!B275="Expense",Transactions!E275+ROW()/10000000,""),"")</f>
        <v/>
      </c>
      <c r="AA273" s="31" t="str">
        <f>IFERROR(IF(Transactions!B275="Expense",Transactions!A275,""),"")</f>
        <v/>
      </c>
      <c r="AB273" s="11" t="str">
        <f>IFERROR(IF(Transactions!B275="Expense",Transactions!C275,""),"")</f>
        <v/>
      </c>
      <c r="AC273" s="11" t="str">
        <f>IFERROR(IF(Transactions!B275="Expense",Transactions!D275,""),"")</f>
        <v/>
      </c>
      <c r="AD273" s="11" t="str">
        <f>IFERROR(IF(Transactions!B275="Expense",Transactions!E275,""),"")</f>
        <v/>
      </c>
    </row>
    <row r="274" ht="15.75" customHeight="1">
      <c r="Z274" s="11" t="str">
        <f>IFERROR(IF(Transactions!B276="Expense",Transactions!E276+ROW()/10000000,""),"")</f>
        <v/>
      </c>
      <c r="AA274" s="31" t="str">
        <f>IFERROR(IF(Transactions!B276="Expense",Transactions!A276,""),"")</f>
        <v/>
      </c>
      <c r="AB274" s="11" t="str">
        <f>IFERROR(IF(Transactions!B276="Expense",Transactions!C276,""),"")</f>
        <v/>
      </c>
      <c r="AC274" s="11" t="str">
        <f>IFERROR(IF(Transactions!B276="Expense",Transactions!D276,""),"")</f>
        <v/>
      </c>
      <c r="AD274" s="11" t="str">
        <f>IFERROR(IF(Transactions!B276="Expense",Transactions!E276,""),"")</f>
        <v/>
      </c>
    </row>
    <row r="275" ht="15.75" customHeight="1">
      <c r="Z275" s="11" t="str">
        <f>IFERROR(IF(Transactions!B277="Expense",Transactions!E277+ROW()/10000000,""),"")</f>
        <v/>
      </c>
      <c r="AA275" s="31" t="str">
        <f>IFERROR(IF(Transactions!B277="Expense",Transactions!A277,""),"")</f>
        <v/>
      </c>
      <c r="AB275" s="11" t="str">
        <f>IFERROR(IF(Transactions!B277="Expense",Transactions!C277,""),"")</f>
        <v/>
      </c>
      <c r="AC275" s="11" t="str">
        <f>IFERROR(IF(Transactions!B277="Expense",Transactions!D277,""),"")</f>
        <v/>
      </c>
      <c r="AD275" s="11" t="str">
        <f>IFERROR(IF(Transactions!B277="Expense",Transactions!E277,""),"")</f>
        <v/>
      </c>
    </row>
    <row r="276" ht="15.75" customHeight="1">
      <c r="Z276" s="11" t="str">
        <f>IFERROR(IF(Transactions!B278="Expense",Transactions!E278+ROW()/10000000,""),"")</f>
        <v/>
      </c>
      <c r="AA276" s="31" t="str">
        <f>IFERROR(IF(Transactions!B278="Expense",Transactions!A278,""),"")</f>
        <v/>
      </c>
      <c r="AB276" s="11" t="str">
        <f>IFERROR(IF(Transactions!B278="Expense",Transactions!C278,""),"")</f>
        <v/>
      </c>
      <c r="AC276" s="11" t="str">
        <f>IFERROR(IF(Transactions!B278="Expense",Transactions!D278,""),"")</f>
        <v/>
      </c>
      <c r="AD276" s="11" t="str">
        <f>IFERROR(IF(Transactions!B278="Expense",Transactions!E278,""),"")</f>
        <v/>
      </c>
    </row>
    <row r="277" ht="15.75" customHeight="1">
      <c r="Z277" s="11" t="str">
        <f>IFERROR(IF(Transactions!B279="Expense",Transactions!E279+ROW()/10000000,""),"")</f>
        <v/>
      </c>
      <c r="AA277" s="31" t="str">
        <f>IFERROR(IF(Transactions!B279="Expense",Transactions!A279,""),"")</f>
        <v/>
      </c>
      <c r="AB277" s="11" t="str">
        <f>IFERROR(IF(Transactions!B279="Expense",Transactions!C279,""),"")</f>
        <v/>
      </c>
      <c r="AC277" s="11" t="str">
        <f>IFERROR(IF(Transactions!B279="Expense",Transactions!D279,""),"")</f>
        <v/>
      </c>
      <c r="AD277" s="11" t="str">
        <f>IFERROR(IF(Transactions!B279="Expense",Transactions!E279,""),"")</f>
        <v/>
      </c>
    </row>
    <row r="278" ht="15.75" customHeight="1">
      <c r="Z278" s="11" t="str">
        <f>IFERROR(IF(Transactions!B280="Expense",Transactions!E280+ROW()/10000000,""),"")</f>
        <v/>
      </c>
      <c r="AA278" s="31" t="str">
        <f>IFERROR(IF(Transactions!B280="Expense",Transactions!A280,""),"")</f>
        <v/>
      </c>
      <c r="AB278" s="11" t="str">
        <f>IFERROR(IF(Transactions!B280="Expense",Transactions!C280,""),"")</f>
        <v/>
      </c>
      <c r="AC278" s="11" t="str">
        <f>IFERROR(IF(Transactions!B280="Expense",Transactions!D280,""),"")</f>
        <v/>
      </c>
      <c r="AD278" s="11" t="str">
        <f>IFERROR(IF(Transactions!B280="Expense",Transactions!E280,""),"")</f>
        <v/>
      </c>
    </row>
    <row r="279" ht="15.75" customHeight="1">
      <c r="Z279" s="11" t="str">
        <f>IFERROR(IF(Transactions!B281="Expense",Transactions!E281+ROW()/10000000,""),"")</f>
        <v/>
      </c>
      <c r="AA279" s="31" t="str">
        <f>IFERROR(IF(Transactions!B281="Expense",Transactions!A281,""),"")</f>
        <v/>
      </c>
      <c r="AB279" s="11" t="str">
        <f>IFERROR(IF(Transactions!B281="Expense",Transactions!C281,""),"")</f>
        <v/>
      </c>
      <c r="AC279" s="11" t="str">
        <f>IFERROR(IF(Transactions!B281="Expense",Transactions!D281,""),"")</f>
        <v/>
      </c>
      <c r="AD279" s="11" t="str">
        <f>IFERROR(IF(Transactions!B281="Expense",Transactions!E281,""),"")</f>
        <v/>
      </c>
    </row>
    <row r="280" ht="15.75" customHeight="1">
      <c r="Z280" s="11" t="str">
        <f>IFERROR(IF(Transactions!B282="Expense",Transactions!E282+ROW()/10000000,""),"")</f>
        <v/>
      </c>
      <c r="AA280" s="31" t="str">
        <f>IFERROR(IF(Transactions!B282="Expense",Transactions!A282,""),"")</f>
        <v/>
      </c>
      <c r="AB280" s="11" t="str">
        <f>IFERROR(IF(Transactions!B282="Expense",Transactions!C282,""),"")</f>
        <v/>
      </c>
      <c r="AC280" s="11" t="str">
        <f>IFERROR(IF(Transactions!B282="Expense",Transactions!D282,""),"")</f>
        <v/>
      </c>
      <c r="AD280" s="11" t="str">
        <f>IFERROR(IF(Transactions!B282="Expense",Transactions!E282,""),"")</f>
        <v/>
      </c>
    </row>
    <row r="281" ht="15.75" customHeight="1">
      <c r="Z281" s="11" t="str">
        <f>IFERROR(IF(Transactions!B283="Expense",Transactions!E283+ROW()/10000000,""),"")</f>
        <v/>
      </c>
      <c r="AA281" s="31" t="str">
        <f>IFERROR(IF(Transactions!B283="Expense",Transactions!A283,""),"")</f>
        <v/>
      </c>
      <c r="AB281" s="11" t="str">
        <f>IFERROR(IF(Transactions!B283="Expense",Transactions!C283,""),"")</f>
        <v/>
      </c>
      <c r="AC281" s="11" t="str">
        <f>IFERROR(IF(Transactions!B283="Expense",Transactions!D283,""),"")</f>
        <v/>
      </c>
      <c r="AD281" s="11" t="str">
        <f>IFERROR(IF(Transactions!B283="Expense",Transactions!E283,""),"")</f>
        <v/>
      </c>
    </row>
    <row r="282" ht="15.75" customHeight="1">
      <c r="Z282" s="11" t="str">
        <f>IFERROR(IF(Transactions!B284="Expense",Transactions!E284+ROW()/10000000,""),"")</f>
        <v/>
      </c>
      <c r="AA282" s="31" t="str">
        <f>IFERROR(IF(Transactions!B284="Expense",Transactions!A284,""),"")</f>
        <v/>
      </c>
      <c r="AB282" s="11" t="str">
        <f>IFERROR(IF(Transactions!B284="Expense",Transactions!C284,""),"")</f>
        <v/>
      </c>
      <c r="AC282" s="11" t="str">
        <f>IFERROR(IF(Transactions!B284="Expense",Transactions!D284,""),"")</f>
        <v/>
      </c>
      <c r="AD282" s="11" t="str">
        <f>IFERROR(IF(Transactions!B284="Expense",Transactions!E284,""),"")</f>
        <v/>
      </c>
    </row>
    <row r="283" ht="15.75" customHeight="1">
      <c r="Z283" s="11" t="str">
        <f>IFERROR(IF(Transactions!B285="Expense",Transactions!E285+ROW()/10000000,""),"")</f>
        <v/>
      </c>
      <c r="AA283" s="31" t="str">
        <f>IFERROR(IF(Transactions!B285="Expense",Transactions!A285,""),"")</f>
        <v/>
      </c>
      <c r="AB283" s="11" t="str">
        <f>IFERROR(IF(Transactions!B285="Expense",Transactions!C285,""),"")</f>
        <v/>
      </c>
      <c r="AC283" s="11" t="str">
        <f>IFERROR(IF(Transactions!B285="Expense",Transactions!D285,""),"")</f>
        <v/>
      </c>
      <c r="AD283" s="11" t="str">
        <f>IFERROR(IF(Transactions!B285="Expense",Transactions!E285,""),"")</f>
        <v/>
      </c>
    </row>
    <row r="284" ht="15.75" customHeight="1">
      <c r="Z284" s="11" t="str">
        <f>IFERROR(IF(Transactions!B286="Expense",Transactions!E286+ROW()/10000000,""),"")</f>
        <v/>
      </c>
      <c r="AA284" s="31" t="str">
        <f>IFERROR(IF(Transactions!B286="Expense",Transactions!A286,""),"")</f>
        <v/>
      </c>
      <c r="AB284" s="11" t="str">
        <f>IFERROR(IF(Transactions!B286="Expense",Transactions!C286,""),"")</f>
        <v/>
      </c>
      <c r="AC284" s="11" t="str">
        <f>IFERROR(IF(Transactions!B286="Expense",Transactions!D286,""),"")</f>
        <v/>
      </c>
      <c r="AD284" s="11" t="str">
        <f>IFERROR(IF(Transactions!B286="Expense",Transactions!E286,""),"")</f>
        <v/>
      </c>
    </row>
    <row r="285" ht="15.75" customHeight="1">
      <c r="Z285" s="11" t="str">
        <f>IFERROR(IF(Transactions!B287="Expense",Transactions!E287+ROW()/10000000,""),"")</f>
        <v/>
      </c>
      <c r="AA285" s="31" t="str">
        <f>IFERROR(IF(Transactions!B287="Expense",Transactions!A287,""),"")</f>
        <v/>
      </c>
      <c r="AB285" s="11" t="str">
        <f>IFERROR(IF(Transactions!B287="Expense",Transactions!C287,""),"")</f>
        <v/>
      </c>
      <c r="AC285" s="11" t="str">
        <f>IFERROR(IF(Transactions!B287="Expense",Transactions!D287,""),"")</f>
        <v/>
      </c>
      <c r="AD285" s="11" t="str">
        <f>IFERROR(IF(Transactions!B287="Expense",Transactions!E287,""),"")</f>
        <v/>
      </c>
    </row>
    <row r="286" ht="15.75" customHeight="1">
      <c r="Z286" s="11" t="str">
        <f>IFERROR(IF(Transactions!B288="Expense",Transactions!E288+ROW()/10000000,""),"")</f>
        <v/>
      </c>
      <c r="AA286" s="31" t="str">
        <f>IFERROR(IF(Transactions!B288="Expense",Transactions!A288,""),"")</f>
        <v/>
      </c>
      <c r="AB286" s="11" t="str">
        <f>IFERROR(IF(Transactions!B288="Expense",Transactions!C288,""),"")</f>
        <v/>
      </c>
      <c r="AC286" s="11" t="str">
        <f>IFERROR(IF(Transactions!B288="Expense",Transactions!D288,""),"")</f>
        <v/>
      </c>
      <c r="AD286" s="11" t="str">
        <f>IFERROR(IF(Transactions!B288="Expense",Transactions!E288,""),"")</f>
        <v/>
      </c>
    </row>
    <row r="287" ht="15.75" customHeight="1">
      <c r="Z287" s="11" t="str">
        <f>IFERROR(IF(Transactions!B289="Expense",Transactions!E289+ROW()/10000000,""),"")</f>
        <v/>
      </c>
      <c r="AA287" s="31" t="str">
        <f>IFERROR(IF(Transactions!B289="Expense",Transactions!A289,""),"")</f>
        <v/>
      </c>
      <c r="AB287" s="11" t="str">
        <f>IFERROR(IF(Transactions!B289="Expense",Transactions!C289,""),"")</f>
        <v/>
      </c>
      <c r="AC287" s="11" t="str">
        <f>IFERROR(IF(Transactions!B289="Expense",Transactions!D289,""),"")</f>
        <v/>
      </c>
      <c r="AD287" s="11" t="str">
        <f>IFERROR(IF(Transactions!B289="Expense",Transactions!E289,""),"")</f>
        <v/>
      </c>
    </row>
    <row r="288" ht="15.75" customHeight="1">
      <c r="Z288" s="11" t="str">
        <f>IFERROR(IF(Transactions!B290="Expense",Transactions!E290+ROW()/10000000,""),"")</f>
        <v/>
      </c>
      <c r="AA288" s="31" t="str">
        <f>IFERROR(IF(Transactions!B290="Expense",Transactions!A290,""),"")</f>
        <v/>
      </c>
      <c r="AB288" s="11" t="str">
        <f>IFERROR(IF(Transactions!B290="Expense",Transactions!C290,""),"")</f>
        <v/>
      </c>
      <c r="AC288" s="11" t="str">
        <f>IFERROR(IF(Transactions!B290="Expense",Transactions!D290,""),"")</f>
        <v/>
      </c>
      <c r="AD288" s="11" t="str">
        <f>IFERROR(IF(Transactions!B290="Expense",Transactions!E290,""),"")</f>
        <v/>
      </c>
    </row>
    <row r="289" ht="15.75" customHeight="1">
      <c r="Z289" s="11" t="str">
        <f>IFERROR(IF(Transactions!B291="Expense",Transactions!E291+ROW()/10000000,""),"")</f>
        <v/>
      </c>
      <c r="AA289" s="31" t="str">
        <f>IFERROR(IF(Transactions!B291="Expense",Transactions!A291,""),"")</f>
        <v/>
      </c>
      <c r="AB289" s="11" t="str">
        <f>IFERROR(IF(Transactions!B291="Expense",Transactions!C291,""),"")</f>
        <v/>
      </c>
      <c r="AC289" s="11" t="str">
        <f>IFERROR(IF(Transactions!B291="Expense",Transactions!D291,""),"")</f>
        <v/>
      </c>
      <c r="AD289" s="11" t="str">
        <f>IFERROR(IF(Transactions!B291="Expense",Transactions!E291,""),"")</f>
        <v/>
      </c>
    </row>
    <row r="290" ht="15.75" customHeight="1">
      <c r="Z290" s="11" t="str">
        <f>IFERROR(IF(Transactions!B292="Expense",Transactions!E292+ROW()/10000000,""),"")</f>
        <v/>
      </c>
      <c r="AA290" s="31" t="str">
        <f>IFERROR(IF(Transactions!B292="Expense",Transactions!A292,""),"")</f>
        <v/>
      </c>
      <c r="AB290" s="11" t="str">
        <f>IFERROR(IF(Transactions!B292="Expense",Transactions!C292,""),"")</f>
        <v/>
      </c>
      <c r="AC290" s="11" t="str">
        <f>IFERROR(IF(Transactions!B292="Expense",Transactions!D292,""),"")</f>
        <v/>
      </c>
      <c r="AD290" s="11" t="str">
        <f>IFERROR(IF(Transactions!B292="Expense",Transactions!E292,""),"")</f>
        <v/>
      </c>
    </row>
    <row r="291" ht="15.75" customHeight="1">
      <c r="Z291" s="11" t="str">
        <f>IFERROR(IF(Transactions!B293="Expense",Transactions!E293+ROW()/10000000,""),"")</f>
        <v/>
      </c>
      <c r="AA291" s="31" t="str">
        <f>IFERROR(IF(Transactions!B293="Expense",Transactions!A293,""),"")</f>
        <v/>
      </c>
      <c r="AB291" s="11" t="str">
        <f>IFERROR(IF(Transactions!B293="Expense",Transactions!C293,""),"")</f>
        <v/>
      </c>
      <c r="AC291" s="11" t="str">
        <f>IFERROR(IF(Transactions!B293="Expense",Transactions!D293,""),"")</f>
        <v/>
      </c>
      <c r="AD291" s="11" t="str">
        <f>IFERROR(IF(Transactions!B293="Expense",Transactions!E293,""),"")</f>
        <v/>
      </c>
    </row>
    <row r="292" ht="15.75" customHeight="1">
      <c r="Z292" s="11" t="str">
        <f>IFERROR(IF(Transactions!B294="Expense",Transactions!E294+ROW()/10000000,""),"")</f>
        <v/>
      </c>
      <c r="AA292" s="31" t="str">
        <f>IFERROR(IF(Transactions!B294="Expense",Transactions!A294,""),"")</f>
        <v/>
      </c>
      <c r="AB292" s="11" t="str">
        <f>IFERROR(IF(Transactions!B294="Expense",Transactions!C294,""),"")</f>
        <v/>
      </c>
      <c r="AC292" s="11" t="str">
        <f>IFERROR(IF(Transactions!B294="Expense",Transactions!D294,""),"")</f>
        <v/>
      </c>
      <c r="AD292" s="11" t="str">
        <f>IFERROR(IF(Transactions!B294="Expense",Transactions!E294,""),"")</f>
        <v/>
      </c>
    </row>
    <row r="293" ht="15.75" customHeight="1">
      <c r="Z293" s="11" t="str">
        <f>IFERROR(IF(Transactions!B295="Expense",Transactions!E295+ROW()/10000000,""),"")</f>
        <v/>
      </c>
      <c r="AA293" s="31" t="str">
        <f>IFERROR(IF(Transactions!B295="Expense",Transactions!A295,""),"")</f>
        <v/>
      </c>
      <c r="AB293" s="11" t="str">
        <f>IFERROR(IF(Transactions!B295="Expense",Transactions!C295,""),"")</f>
        <v/>
      </c>
      <c r="AC293" s="11" t="str">
        <f>IFERROR(IF(Transactions!B295="Expense",Transactions!D295,""),"")</f>
        <v/>
      </c>
      <c r="AD293" s="11" t="str">
        <f>IFERROR(IF(Transactions!B295="Expense",Transactions!E295,""),"")</f>
        <v/>
      </c>
    </row>
    <row r="294" ht="15.75" customHeight="1">
      <c r="Z294" s="11" t="str">
        <f>IFERROR(IF(Transactions!B296="Expense",Transactions!E296+ROW()/10000000,""),"")</f>
        <v/>
      </c>
      <c r="AA294" s="31" t="str">
        <f>IFERROR(IF(Transactions!B296="Expense",Transactions!A296,""),"")</f>
        <v/>
      </c>
      <c r="AB294" s="11" t="str">
        <f>IFERROR(IF(Transactions!B296="Expense",Transactions!C296,""),"")</f>
        <v/>
      </c>
      <c r="AC294" s="11" t="str">
        <f>IFERROR(IF(Transactions!B296="Expense",Transactions!D296,""),"")</f>
        <v/>
      </c>
      <c r="AD294" s="11" t="str">
        <f>IFERROR(IF(Transactions!B296="Expense",Transactions!E296,""),"")</f>
        <v/>
      </c>
    </row>
    <row r="295" ht="15.75" customHeight="1">
      <c r="Z295" s="11" t="str">
        <f>IFERROR(IF(Transactions!B297="Expense",Transactions!E297+ROW()/10000000,""),"")</f>
        <v/>
      </c>
      <c r="AA295" s="31" t="str">
        <f>IFERROR(IF(Transactions!B297="Expense",Transactions!A297,""),"")</f>
        <v/>
      </c>
      <c r="AB295" s="11" t="str">
        <f>IFERROR(IF(Transactions!B297="Expense",Transactions!C297,""),"")</f>
        <v/>
      </c>
      <c r="AC295" s="11" t="str">
        <f>IFERROR(IF(Transactions!B297="Expense",Transactions!D297,""),"")</f>
        <v/>
      </c>
      <c r="AD295" s="11" t="str">
        <f>IFERROR(IF(Transactions!B297="Expense",Transactions!E297,""),"")</f>
        <v/>
      </c>
    </row>
    <row r="296" ht="15.75" customHeight="1">
      <c r="Z296" s="11" t="str">
        <f>IFERROR(IF(Transactions!B298="Expense",Transactions!E298+ROW()/10000000,""),"")</f>
        <v/>
      </c>
      <c r="AA296" s="31" t="str">
        <f>IFERROR(IF(Transactions!B298="Expense",Transactions!A298,""),"")</f>
        <v/>
      </c>
      <c r="AB296" s="11" t="str">
        <f>IFERROR(IF(Transactions!B298="Expense",Transactions!C298,""),"")</f>
        <v/>
      </c>
      <c r="AC296" s="11" t="str">
        <f>IFERROR(IF(Transactions!B298="Expense",Transactions!D298,""),"")</f>
        <v/>
      </c>
      <c r="AD296" s="11" t="str">
        <f>IFERROR(IF(Transactions!B298="Expense",Transactions!E298,""),"")</f>
        <v/>
      </c>
    </row>
    <row r="297" ht="15.75" customHeight="1">
      <c r="Z297" s="11" t="str">
        <f>IFERROR(IF(Transactions!B299="Expense",Transactions!E299+ROW()/10000000,""),"")</f>
        <v/>
      </c>
      <c r="AA297" s="31" t="str">
        <f>IFERROR(IF(Transactions!B299="Expense",Transactions!A299,""),"")</f>
        <v/>
      </c>
      <c r="AB297" s="11" t="str">
        <f>IFERROR(IF(Transactions!B299="Expense",Transactions!C299,""),"")</f>
        <v/>
      </c>
      <c r="AC297" s="11" t="str">
        <f>IFERROR(IF(Transactions!B299="Expense",Transactions!D299,""),"")</f>
        <v/>
      </c>
      <c r="AD297" s="11" t="str">
        <f>IFERROR(IF(Transactions!B299="Expense",Transactions!E299,""),"")</f>
        <v/>
      </c>
    </row>
    <row r="298" ht="15.75" customHeight="1">
      <c r="Z298" s="11" t="str">
        <f>IFERROR(IF(Transactions!B300="Expense",Transactions!E300+ROW()/10000000,""),"")</f>
        <v/>
      </c>
      <c r="AA298" s="31" t="str">
        <f>IFERROR(IF(Transactions!B300="Expense",Transactions!A300,""),"")</f>
        <v/>
      </c>
      <c r="AB298" s="11" t="str">
        <f>IFERROR(IF(Transactions!B300="Expense",Transactions!C300,""),"")</f>
        <v/>
      </c>
      <c r="AC298" s="11" t="str">
        <f>IFERROR(IF(Transactions!B300="Expense",Transactions!D300,""),"")</f>
        <v/>
      </c>
      <c r="AD298" s="11" t="str">
        <f>IFERROR(IF(Transactions!B300="Expense",Transactions!E300,""),"")</f>
        <v/>
      </c>
    </row>
    <row r="299" ht="15.75" customHeight="1">
      <c r="Z299" s="11" t="str">
        <f>IFERROR(IF(Transactions!B301="Expense",Transactions!E301+ROW()/10000000,""),"")</f>
        <v/>
      </c>
      <c r="AA299" s="31" t="str">
        <f>IFERROR(IF(Transactions!B301="Expense",Transactions!A301,""),"")</f>
        <v/>
      </c>
      <c r="AB299" s="11" t="str">
        <f>IFERROR(IF(Transactions!B301="Expense",Transactions!C301,""),"")</f>
        <v/>
      </c>
      <c r="AC299" s="11" t="str">
        <f>IFERROR(IF(Transactions!B301="Expense",Transactions!D301,""),"")</f>
        <v/>
      </c>
      <c r="AD299" s="11" t="str">
        <f>IFERROR(IF(Transactions!B301="Expense",Transactions!E301,""),"")</f>
        <v/>
      </c>
    </row>
    <row r="300" ht="15.75" customHeight="1">
      <c r="Z300" s="11" t="str">
        <f>IFERROR(IF(Transactions!B302="Expense",Transactions!E302+ROW()/10000000,""),"")</f>
        <v/>
      </c>
      <c r="AA300" s="31" t="str">
        <f>IFERROR(IF(Transactions!B302="Expense",Transactions!A302,""),"")</f>
        <v/>
      </c>
      <c r="AB300" s="11" t="str">
        <f>IFERROR(IF(Transactions!B302="Expense",Transactions!C302,""),"")</f>
        <v/>
      </c>
      <c r="AC300" s="11" t="str">
        <f>IFERROR(IF(Transactions!B302="Expense",Transactions!D302,""),"")</f>
        <v/>
      </c>
      <c r="AD300" s="11" t="str">
        <f>IFERROR(IF(Transactions!B302="Expense",Transactions!E302,""),"")</f>
        <v/>
      </c>
    </row>
    <row r="301" ht="15.75" customHeight="1">
      <c r="Z301" s="11" t="str">
        <f>IFERROR(IF(Transactions!B303="Expense",Transactions!E303+ROW()/10000000,""),"")</f>
        <v/>
      </c>
      <c r="AA301" s="31" t="str">
        <f>IFERROR(IF(Transactions!B303="Expense",Transactions!A303,""),"")</f>
        <v/>
      </c>
      <c r="AB301" s="11" t="str">
        <f>IFERROR(IF(Transactions!B303="Expense",Transactions!C303,""),"")</f>
        <v/>
      </c>
      <c r="AC301" s="11" t="str">
        <f>IFERROR(IF(Transactions!B303="Expense",Transactions!D303,""),"")</f>
        <v/>
      </c>
      <c r="AD301" s="11" t="str">
        <f>IFERROR(IF(Transactions!B303="Expense",Transactions!E303,""),"")</f>
        <v/>
      </c>
    </row>
    <row r="302" ht="15.75" customHeight="1">
      <c r="Z302" s="11" t="str">
        <f>IFERROR(IF(Transactions!B304="Expense",Transactions!E304+ROW()/10000000,""),"")</f>
        <v/>
      </c>
      <c r="AA302" s="31" t="str">
        <f>IFERROR(IF(Transactions!B304="Expense",Transactions!A304,""),"")</f>
        <v/>
      </c>
      <c r="AB302" s="11" t="str">
        <f>IFERROR(IF(Transactions!B304="Expense",Transactions!C304,""),"")</f>
        <v/>
      </c>
      <c r="AC302" s="11" t="str">
        <f>IFERROR(IF(Transactions!B304="Expense",Transactions!D304,""),"")</f>
        <v/>
      </c>
      <c r="AD302" s="11" t="str">
        <f>IFERROR(IF(Transactions!B304="Expense",Transactions!E304,""),"")</f>
        <v/>
      </c>
    </row>
    <row r="303" ht="15.75" customHeight="1">
      <c r="Z303" s="11" t="str">
        <f>IFERROR(IF(Transactions!B305="Expense",Transactions!E305+ROW()/10000000,""),"")</f>
        <v/>
      </c>
      <c r="AA303" s="31" t="str">
        <f>IFERROR(IF(Transactions!B305="Expense",Transactions!A305,""),"")</f>
        <v/>
      </c>
      <c r="AB303" s="11" t="str">
        <f>IFERROR(IF(Transactions!B305="Expense",Transactions!C305,""),"")</f>
        <v/>
      </c>
      <c r="AC303" s="11" t="str">
        <f>IFERROR(IF(Transactions!B305="Expense",Transactions!D305,""),"")</f>
        <v/>
      </c>
      <c r="AD303" s="11" t="str">
        <f>IFERROR(IF(Transactions!B305="Expense",Transactions!E305,""),"")</f>
        <v/>
      </c>
    </row>
    <row r="304" ht="15.75" customHeight="1">
      <c r="Z304" s="11" t="str">
        <f>IFERROR(IF(Transactions!B306="Expense",Transactions!E306+ROW()/10000000,""),"")</f>
        <v/>
      </c>
      <c r="AA304" s="31" t="str">
        <f>IFERROR(IF(Transactions!B306="Expense",Transactions!A306,""),"")</f>
        <v/>
      </c>
      <c r="AB304" s="11" t="str">
        <f>IFERROR(IF(Transactions!B306="Expense",Transactions!C306,""),"")</f>
        <v/>
      </c>
      <c r="AC304" s="11" t="str">
        <f>IFERROR(IF(Transactions!B306="Expense",Transactions!D306,""),"")</f>
        <v/>
      </c>
      <c r="AD304" s="11" t="str">
        <f>IFERROR(IF(Transactions!B306="Expense",Transactions!E306,""),"")</f>
        <v/>
      </c>
    </row>
    <row r="305" ht="15.75" customHeight="1">
      <c r="Z305" s="11" t="str">
        <f>IFERROR(IF(Transactions!B307="Expense",Transactions!E307+ROW()/10000000,""),"")</f>
        <v/>
      </c>
      <c r="AA305" s="31" t="str">
        <f>IFERROR(IF(Transactions!B307="Expense",Transactions!A307,""),"")</f>
        <v/>
      </c>
      <c r="AB305" s="11" t="str">
        <f>IFERROR(IF(Transactions!B307="Expense",Transactions!C307,""),"")</f>
        <v/>
      </c>
      <c r="AC305" s="11" t="str">
        <f>IFERROR(IF(Transactions!B307="Expense",Transactions!D307,""),"")</f>
        <v/>
      </c>
      <c r="AD305" s="11" t="str">
        <f>IFERROR(IF(Transactions!B307="Expense",Transactions!E307,""),"")</f>
        <v/>
      </c>
    </row>
    <row r="306" ht="15.75" customHeight="1">
      <c r="Z306" s="11" t="str">
        <f>IFERROR(IF(Transactions!B308="Expense",Transactions!E308+ROW()/10000000,""),"")</f>
        <v/>
      </c>
      <c r="AA306" s="31" t="str">
        <f>IFERROR(IF(Transactions!B308="Expense",Transactions!A308,""),"")</f>
        <v/>
      </c>
      <c r="AB306" s="11" t="str">
        <f>IFERROR(IF(Transactions!B308="Expense",Transactions!C308,""),"")</f>
        <v/>
      </c>
      <c r="AC306" s="11" t="str">
        <f>IFERROR(IF(Transactions!B308="Expense",Transactions!D308,""),"")</f>
        <v/>
      </c>
      <c r="AD306" s="11" t="str">
        <f>IFERROR(IF(Transactions!B308="Expense",Transactions!E308,""),"")</f>
        <v/>
      </c>
    </row>
    <row r="307" ht="15.75" customHeight="1">
      <c r="Z307" s="11" t="str">
        <f>IFERROR(IF(Transactions!B309="Expense",Transactions!E309+ROW()/10000000,""),"")</f>
        <v/>
      </c>
      <c r="AA307" s="31" t="str">
        <f>IFERROR(IF(Transactions!B309="Expense",Transactions!A309,""),"")</f>
        <v/>
      </c>
      <c r="AB307" s="11" t="str">
        <f>IFERROR(IF(Transactions!B309="Expense",Transactions!C309,""),"")</f>
        <v/>
      </c>
      <c r="AC307" s="11" t="str">
        <f>IFERROR(IF(Transactions!B309="Expense",Transactions!D309,""),"")</f>
        <v/>
      </c>
      <c r="AD307" s="11" t="str">
        <f>IFERROR(IF(Transactions!B309="Expense",Transactions!E309,""),"")</f>
        <v/>
      </c>
    </row>
    <row r="308" ht="15.75" customHeight="1">
      <c r="Z308" s="11" t="str">
        <f>IFERROR(IF(Transactions!B310="Expense",Transactions!E310+ROW()/10000000,""),"")</f>
        <v/>
      </c>
      <c r="AA308" s="31" t="str">
        <f>IFERROR(IF(Transactions!B310="Expense",Transactions!A310,""),"")</f>
        <v/>
      </c>
      <c r="AB308" s="11" t="str">
        <f>IFERROR(IF(Transactions!B310="Expense",Transactions!C310,""),"")</f>
        <v/>
      </c>
      <c r="AC308" s="11" t="str">
        <f>IFERROR(IF(Transactions!B310="Expense",Transactions!D310,""),"")</f>
        <v/>
      </c>
      <c r="AD308" s="11" t="str">
        <f>IFERROR(IF(Transactions!B310="Expense",Transactions!E310,""),"")</f>
        <v/>
      </c>
    </row>
    <row r="309" ht="15.75" customHeight="1">
      <c r="Z309" s="11" t="str">
        <f>IFERROR(IF(Transactions!B311="Expense",Transactions!E311+ROW()/10000000,""),"")</f>
        <v/>
      </c>
      <c r="AA309" s="31" t="str">
        <f>IFERROR(IF(Transactions!B311="Expense",Transactions!A311,""),"")</f>
        <v/>
      </c>
      <c r="AB309" s="11" t="str">
        <f>IFERROR(IF(Transactions!B311="Expense",Transactions!C311,""),"")</f>
        <v/>
      </c>
      <c r="AC309" s="11" t="str">
        <f>IFERROR(IF(Transactions!B311="Expense",Transactions!D311,""),"")</f>
        <v/>
      </c>
      <c r="AD309" s="11" t="str">
        <f>IFERROR(IF(Transactions!B311="Expense",Transactions!E311,""),"")</f>
        <v/>
      </c>
    </row>
    <row r="310" ht="15.75" customHeight="1">
      <c r="Z310" s="11" t="str">
        <f>IFERROR(IF(Transactions!B312="Expense",Transactions!E312+ROW()/10000000,""),"")</f>
        <v/>
      </c>
      <c r="AA310" s="31" t="str">
        <f>IFERROR(IF(Transactions!B312="Expense",Transactions!A312,""),"")</f>
        <v/>
      </c>
      <c r="AB310" s="11" t="str">
        <f>IFERROR(IF(Transactions!B312="Expense",Transactions!C312,""),"")</f>
        <v/>
      </c>
      <c r="AC310" s="11" t="str">
        <f>IFERROR(IF(Transactions!B312="Expense",Transactions!D312,""),"")</f>
        <v/>
      </c>
      <c r="AD310" s="11" t="str">
        <f>IFERROR(IF(Transactions!B312="Expense",Transactions!E312,""),"")</f>
        <v/>
      </c>
    </row>
    <row r="311" ht="15.75" customHeight="1">
      <c r="Z311" s="11" t="str">
        <f>IFERROR(IF(Transactions!B313="Expense",Transactions!E313+ROW()/10000000,""),"")</f>
        <v/>
      </c>
      <c r="AA311" s="31" t="str">
        <f>IFERROR(IF(Transactions!B313="Expense",Transactions!A313,""),"")</f>
        <v/>
      </c>
      <c r="AB311" s="11" t="str">
        <f>IFERROR(IF(Transactions!B313="Expense",Transactions!C313,""),"")</f>
        <v/>
      </c>
      <c r="AC311" s="11" t="str">
        <f>IFERROR(IF(Transactions!B313="Expense",Transactions!D313,""),"")</f>
        <v/>
      </c>
      <c r="AD311" s="11" t="str">
        <f>IFERROR(IF(Transactions!B313="Expense",Transactions!E313,""),"")</f>
        <v/>
      </c>
    </row>
    <row r="312" ht="15.75" customHeight="1">
      <c r="Z312" s="11" t="str">
        <f>IFERROR(IF(Transactions!B314="Expense",Transactions!E314+ROW()/10000000,""),"")</f>
        <v/>
      </c>
      <c r="AA312" s="31" t="str">
        <f>IFERROR(IF(Transactions!B314="Expense",Transactions!A314,""),"")</f>
        <v/>
      </c>
      <c r="AB312" s="11" t="str">
        <f>IFERROR(IF(Transactions!B314="Expense",Transactions!C314,""),"")</f>
        <v/>
      </c>
      <c r="AC312" s="11" t="str">
        <f>IFERROR(IF(Transactions!B314="Expense",Transactions!D314,""),"")</f>
        <v/>
      </c>
      <c r="AD312" s="11" t="str">
        <f>IFERROR(IF(Transactions!B314="Expense",Transactions!E314,""),"")</f>
        <v/>
      </c>
    </row>
    <row r="313" ht="15.75" customHeight="1">
      <c r="Z313" s="11" t="str">
        <f>IFERROR(IF(Transactions!B315="Expense",Transactions!E315+ROW()/10000000,""),"")</f>
        <v/>
      </c>
      <c r="AA313" s="31" t="str">
        <f>IFERROR(IF(Transactions!B315="Expense",Transactions!A315,""),"")</f>
        <v/>
      </c>
      <c r="AB313" s="11" t="str">
        <f>IFERROR(IF(Transactions!B315="Expense",Transactions!C315,""),"")</f>
        <v/>
      </c>
      <c r="AC313" s="11" t="str">
        <f>IFERROR(IF(Transactions!B315="Expense",Transactions!D315,""),"")</f>
        <v/>
      </c>
      <c r="AD313" s="11" t="str">
        <f>IFERROR(IF(Transactions!B315="Expense",Transactions!E315,""),"")</f>
        <v/>
      </c>
    </row>
    <row r="314" ht="15.75" customHeight="1">
      <c r="Z314" s="11" t="str">
        <f>IFERROR(IF(Transactions!B316="Expense",Transactions!E316+ROW()/10000000,""),"")</f>
        <v/>
      </c>
      <c r="AA314" s="31" t="str">
        <f>IFERROR(IF(Transactions!B316="Expense",Transactions!A316,""),"")</f>
        <v/>
      </c>
      <c r="AB314" s="11" t="str">
        <f>IFERROR(IF(Transactions!B316="Expense",Transactions!C316,""),"")</f>
        <v/>
      </c>
      <c r="AC314" s="11" t="str">
        <f>IFERROR(IF(Transactions!B316="Expense",Transactions!D316,""),"")</f>
        <v/>
      </c>
      <c r="AD314" s="11" t="str">
        <f>IFERROR(IF(Transactions!B316="Expense",Transactions!E316,""),"")</f>
        <v/>
      </c>
    </row>
    <row r="315" ht="15.75" customHeight="1">
      <c r="Z315" s="11" t="str">
        <f>IFERROR(IF(Transactions!B317="Expense",Transactions!E317+ROW()/10000000,""),"")</f>
        <v/>
      </c>
      <c r="AA315" s="31" t="str">
        <f>IFERROR(IF(Transactions!B317="Expense",Transactions!A317,""),"")</f>
        <v/>
      </c>
      <c r="AB315" s="11" t="str">
        <f>IFERROR(IF(Transactions!B317="Expense",Transactions!C317,""),"")</f>
        <v/>
      </c>
      <c r="AC315" s="11" t="str">
        <f>IFERROR(IF(Transactions!B317="Expense",Transactions!D317,""),"")</f>
        <v/>
      </c>
      <c r="AD315" s="11" t="str">
        <f>IFERROR(IF(Transactions!B317="Expense",Transactions!E317,""),"")</f>
        <v/>
      </c>
    </row>
    <row r="316" ht="15.75" customHeight="1">
      <c r="Z316" s="11" t="str">
        <f>IFERROR(IF(Transactions!B318="Expense",Transactions!E318+ROW()/10000000,""),"")</f>
        <v/>
      </c>
      <c r="AA316" s="31" t="str">
        <f>IFERROR(IF(Transactions!B318="Expense",Transactions!A318,""),"")</f>
        <v/>
      </c>
      <c r="AB316" s="11" t="str">
        <f>IFERROR(IF(Transactions!B318="Expense",Transactions!C318,""),"")</f>
        <v/>
      </c>
      <c r="AC316" s="11" t="str">
        <f>IFERROR(IF(Transactions!B318="Expense",Transactions!D318,""),"")</f>
        <v/>
      </c>
      <c r="AD316" s="11" t="str">
        <f>IFERROR(IF(Transactions!B318="Expense",Transactions!E318,""),"")</f>
        <v/>
      </c>
    </row>
    <row r="317" ht="15.75" customHeight="1">
      <c r="Z317" s="11" t="str">
        <f>IFERROR(IF(Transactions!B319="Expense",Transactions!E319+ROW()/10000000,""),"")</f>
        <v/>
      </c>
      <c r="AA317" s="31" t="str">
        <f>IFERROR(IF(Transactions!B319="Expense",Transactions!A319,""),"")</f>
        <v/>
      </c>
      <c r="AB317" s="11" t="str">
        <f>IFERROR(IF(Transactions!B319="Expense",Transactions!C319,""),"")</f>
        <v/>
      </c>
      <c r="AC317" s="11" t="str">
        <f>IFERROR(IF(Transactions!B319="Expense",Transactions!D319,""),"")</f>
        <v/>
      </c>
      <c r="AD317" s="11" t="str">
        <f>IFERROR(IF(Transactions!B319="Expense",Transactions!E319,""),"")</f>
        <v/>
      </c>
    </row>
    <row r="318" ht="15.75" customHeight="1">
      <c r="Z318" s="11" t="str">
        <f>IFERROR(IF(Transactions!B320="Expense",Transactions!E320+ROW()/10000000,""),"")</f>
        <v/>
      </c>
      <c r="AA318" s="31" t="str">
        <f>IFERROR(IF(Transactions!B320="Expense",Transactions!A320,""),"")</f>
        <v/>
      </c>
      <c r="AB318" s="11" t="str">
        <f>IFERROR(IF(Transactions!B320="Expense",Transactions!C320,""),"")</f>
        <v/>
      </c>
      <c r="AC318" s="11" t="str">
        <f>IFERROR(IF(Transactions!B320="Expense",Transactions!D320,""),"")</f>
        <v/>
      </c>
      <c r="AD318" s="11" t="str">
        <f>IFERROR(IF(Transactions!B320="Expense",Transactions!E320,""),"")</f>
        <v/>
      </c>
    </row>
    <row r="319" ht="15.75" customHeight="1">
      <c r="Z319" s="11" t="str">
        <f>IFERROR(IF(Transactions!B321="Expense",Transactions!E321+ROW()/10000000,""),"")</f>
        <v/>
      </c>
      <c r="AA319" s="31" t="str">
        <f>IFERROR(IF(Transactions!B321="Expense",Transactions!A321,""),"")</f>
        <v/>
      </c>
      <c r="AB319" s="11" t="str">
        <f>IFERROR(IF(Transactions!B321="Expense",Transactions!C321,""),"")</f>
        <v/>
      </c>
      <c r="AC319" s="11" t="str">
        <f>IFERROR(IF(Transactions!B321="Expense",Transactions!D321,""),"")</f>
        <v/>
      </c>
      <c r="AD319" s="11" t="str">
        <f>IFERROR(IF(Transactions!B321="Expense",Transactions!E321,""),"")</f>
        <v/>
      </c>
    </row>
    <row r="320" ht="15.75" customHeight="1">
      <c r="Z320" s="11" t="str">
        <f>IFERROR(IF(Transactions!B322="Expense",Transactions!E322+ROW()/10000000,""),"")</f>
        <v/>
      </c>
      <c r="AA320" s="31" t="str">
        <f>IFERROR(IF(Transactions!B322="Expense",Transactions!A322,""),"")</f>
        <v/>
      </c>
      <c r="AB320" s="11" t="str">
        <f>IFERROR(IF(Transactions!B322="Expense",Transactions!C322,""),"")</f>
        <v/>
      </c>
      <c r="AC320" s="11" t="str">
        <f>IFERROR(IF(Transactions!B322="Expense",Transactions!D322,""),"")</f>
        <v/>
      </c>
      <c r="AD320" s="11" t="str">
        <f>IFERROR(IF(Transactions!B322="Expense",Transactions!E322,""),"")</f>
        <v/>
      </c>
    </row>
    <row r="321" ht="15.75" customHeight="1">
      <c r="Z321" s="11" t="str">
        <f>IFERROR(IF(Transactions!B323="Expense",Transactions!E323+ROW()/10000000,""),"")</f>
        <v/>
      </c>
      <c r="AA321" s="31" t="str">
        <f>IFERROR(IF(Transactions!B323="Expense",Transactions!A323,""),"")</f>
        <v/>
      </c>
      <c r="AB321" s="11" t="str">
        <f>IFERROR(IF(Transactions!B323="Expense",Transactions!C323,""),"")</f>
        <v/>
      </c>
      <c r="AC321" s="11" t="str">
        <f>IFERROR(IF(Transactions!B323="Expense",Transactions!D323,""),"")</f>
        <v/>
      </c>
      <c r="AD321" s="11" t="str">
        <f>IFERROR(IF(Transactions!B323="Expense",Transactions!E323,""),"")</f>
        <v/>
      </c>
    </row>
    <row r="322" ht="15.75" customHeight="1">
      <c r="Z322" s="11" t="str">
        <f>IFERROR(IF(Transactions!B324="Expense",Transactions!E324+ROW()/10000000,""),"")</f>
        <v/>
      </c>
      <c r="AA322" s="31" t="str">
        <f>IFERROR(IF(Transactions!B324="Expense",Transactions!A324,""),"")</f>
        <v/>
      </c>
      <c r="AB322" s="11" t="str">
        <f>IFERROR(IF(Transactions!B324="Expense",Transactions!C324,""),"")</f>
        <v/>
      </c>
      <c r="AC322" s="11" t="str">
        <f>IFERROR(IF(Transactions!B324="Expense",Transactions!D324,""),"")</f>
        <v/>
      </c>
      <c r="AD322" s="11" t="str">
        <f>IFERROR(IF(Transactions!B324="Expense",Transactions!E324,""),"")</f>
        <v/>
      </c>
    </row>
    <row r="323" ht="15.75" customHeight="1">
      <c r="Z323" s="11" t="str">
        <f>IFERROR(IF(Transactions!B325="Expense",Transactions!E325+ROW()/10000000,""),"")</f>
        <v/>
      </c>
      <c r="AA323" s="31" t="str">
        <f>IFERROR(IF(Transactions!B325="Expense",Transactions!A325,""),"")</f>
        <v/>
      </c>
      <c r="AB323" s="11" t="str">
        <f>IFERROR(IF(Transactions!B325="Expense",Transactions!C325,""),"")</f>
        <v/>
      </c>
      <c r="AC323" s="11" t="str">
        <f>IFERROR(IF(Transactions!B325="Expense",Transactions!D325,""),"")</f>
        <v/>
      </c>
      <c r="AD323" s="11" t="str">
        <f>IFERROR(IF(Transactions!B325="Expense",Transactions!E325,""),"")</f>
        <v/>
      </c>
    </row>
    <row r="324" ht="15.75" customHeight="1">
      <c r="Z324" s="11" t="str">
        <f>IFERROR(IF(Transactions!B326="Expense",Transactions!E326+ROW()/10000000,""),"")</f>
        <v/>
      </c>
      <c r="AA324" s="31" t="str">
        <f>IFERROR(IF(Transactions!B326="Expense",Transactions!A326,""),"")</f>
        <v/>
      </c>
      <c r="AB324" s="11" t="str">
        <f>IFERROR(IF(Transactions!B326="Expense",Transactions!C326,""),"")</f>
        <v/>
      </c>
      <c r="AC324" s="11" t="str">
        <f>IFERROR(IF(Transactions!B326="Expense",Transactions!D326,""),"")</f>
        <v/>
      </c>
      <c r="AD324" s="11" t="str">
        <f>IFERROR(IF(Transactions!B326="Expense",Transactions!E326,""),"")</f>
        <v/>
      </c>
    </row>
    <row r="325" ht="15.75" customHeight="1">
      <c r="Z325" s="11" t="str">
        <f>IFERROR(IF(Transactions!B327="Expense",Transactions!E327+ROW()/10000000,""),"")</f>
        <v/>
      </c>
      <c r="AA325" s="31" t="str">
        <f>IFERROR(IF(Transactions!B327="Expense",Transactions!A327,""),"")</f>
        <v/>
      </c>
      <c r="AB325" s="11" t="str">
        <f>IFERROR(IF(Transactions!B327="Expense",Transactions!C327,""),"")</f>
        <v/>
      </c>
      <c r="AC325" s="11" t="str">
        <f>IFERROR(IF(Transactions!B327="Expense",Transactions!D327,""),"")</f>
        <v/>
      </c>
      <c r="AD325" s="11" t="str">
        <f>IFERROR(IF(Transactions!B327="Expense",Transactions!E327,""),"")</f>
        <v/>
      </c>
    </row>
    <row r="326" ht="15.75" customHeight="1">
      <c r="Z326" s="11" t="str">
        <f>IFERROR(IF(Transactions!B328="Expense",Transactions!E328+ROW()/10000000,""),"")</f>
        <v/>
      </c>
      <c r="AA326" s="31" t="str">
        <f>IFERROR(IF(Transactions!B328="Expense",Transactions!A328,""),"")</f>
        <v/>
      </c>
      <c r="AB326" s="11" t="str">
        <f>IFERROR(IF(Transactions!B328="Expense",Transactions!C328,""),"")</f>
        <v/>
      </c>
      <c r="AC326" s="11" t="str">
        <f>IFERROR(IF(Transactions!B328="Expense",Transactions!D328,""),"")</f>
        <v/>
      </c>
      <c r="AD326" s="11" t="str">
        <f>IFERROR(IF(Transactions!B328="Expense",Transactions!E328,""),"")</f>
        <v/>
      </c>
    </row>
    <row r="327" ht="15.75" customHeight="1">
      <c r="Z327" s="11" t="str">
        <f>IFERROR(IF(Transactions!B329="Expense",Transactions!E329+ROW()/10000000,""),"")</f>
        <v/>
      </c>
      <c r="AA327" s="31" t="str">
        <f>IFERROR(IF(Transactions!B329="Expense",Transactions!A329,""),"")</f>
        <v/>
      </c>
      <c r="AB327" s="11" t="str">
        <f>IFERROR(IF(Transactions!B329="Expense",Transactions!C329,""),"")</f>
        <v/>
      </c>
      <c r="AC327" s="11" t="str">
        <f>IFERROR(IF(Transactions!B329="Expense",Transactions!D329,""),"")</f>
        <v/>
      </c>
      <c r="AD327" s="11" t="str">
        <f>IFERROR(IF(Transactions!B329="Expense",Transactions!E329,""),"")</f>
        <v/>
      </c>
    </row>
    <row r="328" ht="15.75" customHeight="1">
      <c r="Z328" s="11" t="str">
        <f>IFERROR(IF(Transactions!B330="Expense",Transactions!E330+ROW()/10000000,""),"")</f>
        <v/>
      </c>
      <c r="AA328" s="31" t="str">
        <f>IFERROR(IF(Transactions!B330="Expense",Transactions!A330,""),"")</f>
        <v/>
      </c>
      <c r="AB328" s="11" t="str">
        <f>IFERROR(IF(Transactions!B330="Expense",Transactions!C330,""),"")</f>
        <v/>
      </c>
      <c r="AC328" s="11" t="str">
        <f>IFERROR(IF(Transactions!B330="Expense",Transactions!D330,""),"")</f>
        <v/>
      </c>
      <c r="AD328" s="11" t="str">
        <f>IFERROR(IF(Transactions!B330="Expense",Transactions!E330,""),"")</f>
        <v/>
      </c>
    </row>
    <row r="329" ht="15.75" customHeight="1">
      <c r="Z329" s="11" t="str">
        <f>IFERROR(IF(Transactions!B331="Expense",Transactions!E331+ROW()/10000000,""),"")</f>
        <v/>
      </c>
      <c r="AA329" s="31" t="str">
        <f>IFERROR(IF(Transactions!B331="Expense",Transactions!A331,""),"")</f>
        <v/>
      </c>
      <c r="AB329" s="11" t="str">
        <f>IFERROR(IF(Transactions!B331="Expense",Transactions!C331,""),"")</f>
        <v/>
      </c>
      <c r="AC329" s="11" t="str">
        <f>IFERROR(IF(Transactions!B331="Expense",Transactions!D331,""),"")</f>
        <v/>
      </c>
      <c r="AD329" s="11" t="str">
        <f>IFERROR(IF(Transactions!B331="Expense",Transactions!E331,""),"")</f>
        <v/>
      </c>
    </row>
    <row r="330" ht="15.75" customHeight="1">
      <c r="Z330" s="11" t="str">
        <f>IFERROR(IF(Transactions!B332="Expense",Transactions!E332+ROW()/10000000,""),"")</f>
        <v/>
      </c>
      <c r="AA330" s="31" t="str">
        <f>IFERROR(IF(Transactions!B332="Expense",Transactions!A332,""),"")</f>
        <v/>
      </c>
      <c r="AB330" s="11" t="str">
        <f>IFERROR(IF(Transactions!B332="Expense",Transactions!C332,""),"")</f>
        <v/>
      </c>
      <c r="AC330" s="11" t="str">
        <f>IFERROR(IF(Transactions!B332="Expense",Transactions!D332,""),"")</f>
        <v/>
      </c>
      <c r="AD330" s="11" t="str">
        <f>IFERROR(IF(Transactions!B332="Expense",Transactions!E332,""),"")</f>
        <v/>
      </c>
    </row>
    <row r="331" ht="15.75" customHeight="1">
      <c r="Z331" s="11" t="str">
        <f>IFERROR(IF(Transactions!B333="Expense",Transactions!E333+ROW()/10000000,""),"")</f>
        <v/>
      </c>
      <c r="AA331" s="31" t="str">
        <f>IFERROR(IF(Transactions!B333="Expense",Transactions!A333,""),"")</f>
        <v/>
      </c>
      <c r="AB331" s="11" t="str">
        <f>IFERROR(IF(Transactions!B333="Expense",Transactions!C333,""),"")</f>
        <v/>
      </c>
      <c r="AC331" s="11" t="str">
        <f>IFERROR(IF(Transactions!B333="Expense",Transactions!D333,""),"")</f>
        <v/>
      </c>
      <c r="AD331" s="11" t="str">
        <f>IFERROR(IF(Transactions!B333="Expense",Transactions!E333,""),"")</f>
        <v/>
      </c>
    </row>
    <row r="332" ht="15.75" customHeight="1">
      <c r="Z332" s="11" t="str">
        <f>IFERROR(IF(Transactions!B334="Expense",Transactions!E334+ROW()/10000000,""),"")</f>
        <v/>
      </c>
      <c r="AA332" s="31" t="str">
        <f>IFERROR(IF(Transactions!B334="Expense",Transactions!A334,""),"")</f>
        <v/>
      </c>
      <c r="AB332" s="11" t="str">
        <f>IFERROR(IF(Transactions!B334="Expense",Transactions!C334,""),"")</f>
        <v/>
      </c>
      <c r="AC332" s="11" t="str">
        <f>IFERROR(IF(Transactions!B334="Expense",Transactions!D334,""),"")</f>
        <v/>
      </c>
      <c r="AD332" s="11" t="str">
        <f>IFERROR(IF(Transactions!B334="Expense",Transactions!E334,""),"")</f>
        <v/>
      </c>
    </row>
    <row r="333" ht="15.75" customHeight="1">
      <c r="Z333" s="11" t="str">
        <f>IFERROR(IF(Transactions!B335="Expense",Transactions!E335+ROW()/10000000,""),"")</f>
        <v/>
      </c>
      <c r="AA333" s="31" t="str">
        <f>IFERROR(IF(Transactions!B335="Expense",Transactions!A335,""),"")</f>
        <v/>
      </c>
      <c r="AB333" s="11" t="str">
        <f>IFERROR(IF(Transactions!B335="Expense",Transactions!C335,""),"")</f>
        <v/>
      </c>
      <c r="AC333" s="11" t="str">
        <f>IFERROR(IF(Transactions!B335="Expense",Transactions!D335,""),"")</f>
        <v/>
      </c>
      <c r="AD333" s="11" t="str">
        <f>IFERROR(IF(Transactions!B335="Expense",Transactions!E335,""),"")</f>
        <v/>
      </c>
    </row>
    <row r="334" ht="15.75" customHeight="1">
      <c r="Z334" s="11" t="str">
        <f>IFERROR(IF(Transactions!B336="Expense",Transactions!E336+ROW()/10000000,""),"")</f>
        <v/>
      </c>
      <c r="AA334" s="31" t="str">
        <f>IFERROR(IF(Transactions!B336="Expense",Transactions!A336,""),"")</f>
        <v/>
      </c>
      <c r="AB334" s="11" t="str">
        <f>IFERROR(IF(Transactions!B336="Expense",Transactions!C336,""),"")</f>
        <v/>
      </c>
      <c r="AC334" s="11" t="str">
        <f>IFERROR(IF(Transactions!B336="Expense",Transactions!D336,""),"")</f>
        <v/>
      </c>
      <c r="AD334" s="11" t="str">
        <f>IFERROR(IF(Transactions!B336="Expense",Transactions!E336,""),"")</f>
        <v/>
      </c>
    </row>
    <row r="335" ht="15.75" customHeight="1">
      <c r="Z335" s="11" t="str">
        <f>IFERROR(IF(Transactions!B337="Expense",Transactions!E337+ROW()/10000000,""),"")</f>
        <v/>
      </c>
      <c r="AA335" s="31" t="str">
        <f>IFERROR(IF(Transactions!B337="Expense",Transactions!A337,""),"")</f>
        <v/>
      </c>
      <c r="AB335" s="11" t="str">
        <f>IFERROR(IF(Transactions!B337="Expense",Transactions!C337,""),"")</f>
        <v/>
      </c>
      <c r="AC335" s="11" t="str">
        <f>IFERROR(IF(Transactions!B337="Expense",Transactions!D337,""),"")</f>
        <v/>
      </c>
      <c r="AD335" s="11" t="str">
        <f>IFERROR(IF(Transactions!B337="Expense",Transactions!E337,""),"")</f>
        <v/>
      </c>
    </row>
    <row r="336" ht="15.75" customHeight="1">
      <c r="Z336" s="11" t="str">
        <f>IFERROR(IF(Transactions!B338="Expense",Transactions!E338+ROW()/10000000,""),"")</f>
        <v/>
      </c>
      <c r="AA336" s="31" t="str">
        <f>IFERROR(IF(Transactions!B338="Expense",Transactions!A338,""),"")</f>
        <v/>
      </c>
      <c r="AB336" s="11" t="str">
        <f>IFERROR(IF(Transactions!B338="Expense",Transactions!C338,""),"")</f>
        <v/>
      </c>
      <c r="AC336" s="11" t="str">
        <f>IFERROR(IF(Transactions!B338="Expense",Transactions!D338,""),"")</f>
        <v/>
      </c>
      <c r="AD336" s="11" t="str">
        <f>IFERROR(IF(Transactions!B338="Expense",Transactions!E338,""),"")</f>
        <v/>
      </c>
    </row>
    <row r="337" ht="15.75" customHeight="1">
      <c r="Z337" s="11" t="str">
        <f>IFERROR(IF(Transactions!B339="Expense",Transactions!E339+ROW()/10000000,""),"")</f>
        <v/>
      </c>
      <c r="AA337" s="31" t="str">
        <f>IFERROR(IF(Transactions!B339="Expense",Transactions!A339,""),"")</f>
        <v/>
      </c>
      <c r="AB337" s="11" t="str">
        <f>IFERROR(IF(Transactions!B339="Expense",Transactions!C339,""),"")</f>
        <v/>
      </c>
      <c r="AC337" s="11" t="str">
        <f>IFERROR(IF(Transactions!B339="Expense",Transactions!D339,""),"")</f>
        <v/>
      </c>
      <c r="AD337" s="11" t="str">
        <f>IFERROR(IF(Transactions!B339="Expense",Transactions!E339,""),"")</f>
        <v/>
      </c>
    </row>
    <row r="338" ht="15.75" customHeight="1">
      <c r="Z338" s="11" t="str">
        <f>IFERROR(IF(Transactions!B340="Expense",Transactions!E340+ROW()/10000000,""),"")</f>
        <v/>
      </c>
      <c r="AA338" s="31" t="str">
        <f>IFERROR(IF(Transactions!B340="Expense",Transactions!A340,""),"")</f>
        <v/>
      </c>
      <c r="AB338" s="11" t="str">
        <f>IFERROR(IF(Transactions!B340="Expense",Transactions!C340,""),"")</f>
        <v/>
      </c>
      <c r="AC338" s="11" t="str">
        <f>IFERROR(IF(Transactions!B340="Expense",Transactions!D340,""),"")</f>
        <v/>
      </c>
      <c r="AD338" s="11" t="str">
        <f>IFERROR(IF(Transactions!B340="Expense",Transactions!E340,""),"")</f>
        <v/>
      </c>
    </row>
    <row r="339" ht="15.75" customHeight="1">
      <c r="Z339" s="11" t="str">
        <f>IFERROR(IF(Transactions!B341="Expense",Transactions!E341+ROW()/10000000,""),"")</f>
        <v/>
      </c>
      <c r="AA339" s="31" t="str">
        <f>IFERROR(IF(Transactions!B341="Expense",Transactions!A341,""),"")</f>
        <v/>
      </c>
      <c r="AB339" s="11" t="str">
        <f>IFERROR(IF(Transactions!B341="Expense",Transactions!C341,""),"")</f>
        <v/>
      </c>
      <c r="AC339" s="11" t="str">
        <f>IFERROR(IF(Transactions!B341="Expense",Transactions!D341,""),"")</f>
        <v/>
      </c>
      <c r="AD339" s="11" t="str">
        <f>IFERROR(IF(Transactions!B341="Expense",Transactions!E341,""),"")</f>
        <v/>
      </c>
    </row>
    <row r="340" ht="15.75" customHeight="1">
      <c r="Z340" s="11" t="str">
        <f>IFERROR(IF(Transactions!B342="Expense",Transactions!E342+ROW()/10000000,""),"")</f>
        <v/>
      </c>
      <c r="AA340" s="31" t="str">
        <f>IFERROR(IF(Transactions!B342="Expense",Transactions!A342,""),"")</f>
        <v/>
      </c>
      <c r="AB340" s="11" t="str">
        <f>IFERROR(IF(Transactions!B342="Expense",Transactions!C342,""),"")</f>
        <v/>
      </c>
      <c r="AC340" s="11" t="str">
        <f>IFERROR(IF(Transactions!B342="Expense",Transactions!D342,""),"")</f>
        <v/>
      </c>
      <c r="AD340" s="11" t="str">
        <f>IFERROR(IF(Transactions!B342="Expense",Transactions!E342,""),"")</f>
        <v/>
      </c>
    </row>
    <row r="341" ht="15.75" customHeight="1">
      <c r="Z341" s="11" t="str">
        <f>IFERROR(IF(Transactions!B343="Expense",Transactions!E343+ROW()/10000000,""),"")</f>
        <v/>
      </c>
      <c r="AA341" s="31" t="str">
        <f>IFERROR(IF(Transactions!B343="Expense",Transactions!A343,""),"")</f>
        <v/>
      </c>
      <c r="AB341" s="11" t="str">
        <f>IFERROR(IF(Transactions!B343="Expense",Transactions!C343,""),"")</f>
        <v/>
      </c>
      <c r="AC341" s="11" t="str">
        <f>IFERROR(IF(Transactions!B343="Expense",Transactions!D343,""),"")</f>
        <v/>
      </c>
      <c r="AD341" s="11" t="str">
        <f>IFERROR(IF(Transactions!B343="Expense",Transactions!E343,""),"")</f>
        <v/>
      </c>
    </row>
    <row r="342" ht="15.75" customHeight="1">
      <c r="Z342" s="11" t="str">
        <f>IFERROR(IF(Transactions!B344="Expense",Transactions!E344+ROW()/10000000,""),"")</f>
        <v/>
      </c>
      <c r="AA342" s="31" t="str">
        <f>IFERROR(IF(Transactions!B344="Expense",Transactions!A344,""),"")</f>
        <v/>
      </c>
      <c r="AB342" s="11" t="str">
        <f>IFERROR(IF(Transactions!B344="Expense",Transactions!C344,""),"")</f>
        <v/>
      </c>
      <c r="AC342" s="11" t="str">
        <f>IFERROR(IF(Transactions!B344="Expense",Transactions!D344,""),"")</f>
        <v/>
      </c>
      <c r="AD342" s="11" t="str">
        <f>IFERROR(IF(Transactions!B344="Expense",Transactions!E344,""),"")</f>
        <v/>
      </c>
    </row>
    <row r="343" ht="15.75" customHeight="1">
      <c r="Z343" s="11" t="str">
        <f>IFERROR(IF(Transactions!B345="Expense",Transactions!E345+ROW()/10000000,""),"")</f>
        <v/>
      </c>
      <c r="AA343" s="31" t="str">
        <f>IFERROR(IF(Transactions!B345="Expense",Transactions!A345,""),"")</f>
        <v/>
      </c>
      <c r="AB343" s="11" t="str">
        <f>IFERROR(IF(Transactions!B345="Expense",Transactions!C345,""),"")</f>
        <v/>
      </c>
      <c r="AC343" s="11" t="str">
        <f>IFERROR(IF(Transactions!B345="Expense",Transactions!D345,""),"")</f>
        <v/>
      </c>
      <c r="AD343" s="11" t="str">
        <f>IFERROR(IF(Transactions!B345="Expense",Transactions!E345,""),"")</f>
        <v/>
      </c>
    </row>
    <row r="344" ht="15.75" customHeight="1">
      <c r="Z344" s="11" t="str">
        <f>IFERROR(IF(Transactions!B346="Expense",Transactions!E346+ROW()/10000000,""),"")</f>
        <v/>
      </c>
      <c r="AA344" s="31" t="str">
        <f>IFERROR(IF(Transactions!B346="Expense",Transactions!A346,""),"")</f>
        <v/>
      </c>
      <c r="AB344" s="11" t="str">
        <f>IFERROR(IF(Transactions!B346="Expense",Transactions!C346,""),"")</f>
        <v/>
      </c>
      <c r="AC344" s="11" t="str">
        <f>IFERROR(IF(Transactions!B346="Expense",Transactions!D346,""),"")</f>
        <v/>
      </c>
      <c r="AD344" s="11" t="str">
        <f>IFERROR(IF(Transactions!B346="Expense",Transactions!E346,""),"")</f>
        <v/>
      </c>
    </row>
    <row r="345" ht="15.75" customHeight="1">
      <c r="Z345" s="11" t="str">
        <f>IFERROR(IF(Transactions!B347="Expense",Transactions!E347+ROW()/10000000,""),"")</f>
        <v/>
      </c>
      <c r="AA345" s="31" t="str">
        <f>IFERROR(IF(Transactions!B347="Expense",Transactions!A347,""),"")</f>
        <v/>
      </c>
      <c r="AB345" s="11" t="str">
        <f>IFERROR(IF(Transactions!B347="Expense",Transactions!C347,""),"")</f>
        <v/>
      </c>
      <c r="AC345" s="11" t="str">
        <f>IFERROR(IF(Transactions!B347="Expense",Transactions!D347,""),"")</f>
        <v/>
      </c>
      <c r="AD345" s="11" t="str">
        <f>IFERROR(IF(Transactions!B347="Expense",Transactions!E347,""),"")</f>
        <v/>
      </c>
    </row>
    <row r="346" ht="15.75" customHeight="1">
      <c r="Z346" s="11" t="str">
        <f>IFERROR(IF(Transactions!B348="Expense",Transactions!E348+ROW()/10000000,""),"")</f>
        <v/>
      </c>
      <c r="AA346" s="31" t="str">
        <f>IFERROR(IF(Transactions!B348="Expense",Transactions!A348,""),"")</f>
        <v/>
      </c>
      <c r="AB346" s="11" t="str">
        <f>IFERROR(IF(Transactions!B348="Expense",Transactions!C348,""),"")</f>
        <v/>
      </c>
      <c r="AC346" s="11" t="str">
        <f>IFERROR(IF(Transactions!B348="Expense",Transactions!D348,""),"")</f>
        <v/>
      </c>
      <c r="AD346" s="11" t="str">
        <f>IFERROR(IF(Transactions!B348="Expense",Transactions!E348,""),"")</f>
        <v/>
      </c>
    </row>
    <row r="347" ht="15.75" customHeight="1">
      <c r="Z347" s="11" t="str">
        <f>IFERROR(IF(Transactions!B349="Expense",Transactions!E349+ROW()/10000000,""),"")</f>
        <v/>
      </c>
      <c r="AA347" s="31" t="str">
        <f>IFERROR(IF(Transactions!B349="Expense",Transactions!A349,""),"")</f>
        <v/>
      </c>
      <c r="AB347" s="11" t="str">
        <f>IFERROR(IF(Transactions!B349="Expense",Transactions!C349,""),"")</f>
        <v/>
      </c>
      <c r="AC347" s="11" t="str">
        <f>IFERROR(IF(Transactions!B349="Expense",Transactions!D349,""),"")</f>
        <v/>
      </c>
      <c r="AD347" s="11" t="str">
        <f>IFERROR(IF(Transactions!B349="Expense",Transactions!E349,""),"")</f>
        <v/>
      </c>
    </row>
    <row r="348" ht="15.75" customHeight="1">
      <c r="Z348" s="11" t="str">
        <f>IFERROR(IF(Transactions!B350="Expense",Transactions!E350+ROW()/10000000,""),"")</f>
        <v/>
      </c>
      <c r="AA348" s="31" t="str">
        <f>IFERROR(IF(Transactions!B350="Expense",Transactions!A350,""),"")</f>
        <v/>
      </c>
      <c r="AB348" s="11" t="str">
        <f>IFERROR(IF(Transactions!B350="Expense",Transactions!C350,""),"")</f>
        <v/>
      </c>
      <c r="AC348" s="11" t="str">
        <f>IFERROR(IF(Transactions!B350="Expense",Transactions!D350,""),"")</f>
        <v/>
      </c>
      <c r="AD348" s="11" t="str">
        <f>IFERROR(IF(Transactions!B350="Expense",Transactions!E350,""),"")</f>
        <v/>
      </c>
    </row>
    <row r="349" ht="15.75" customHeight="1">
      <c r="Z349" s="11" t="str">
        <f>IFERROR(IF(Transactions!B351="Expense",Transactions!E351+ROW()/10000000,""),"")</f>
        <v/>
      </c>
      <c r="AA349" s="31" t="str">
        <f>IFERROR(IF(Transactions!B351="Expense",Transactions!A351,""),"")</f>
        <v/>
      </c>
      <c r="AB349" s="11" t="str">
        <f>IFERROR(IF(Transactions!B351="Expense",Transactions!C351,""),"")</f>
        <v/>
      </c>
      <c r="AC349" s="11" t="str">
        <f>IFERROR(IF(Transactions!B351="Expense",Transactions!D351,""),"")</f>
        <v/>
      </c>
      <c r="AD349" s="11" t="str">
        <f>IFERROR(IF(Transactions!B351="Expense",Transactions!E351,""),"")</f>
        <v/>
      </c>
    </row>
    <row r="350" ht="15.75" customHeight="1">
      <c r="Z350" s="11" t="str">
        <f>IFERROR(IF(Transactions!B352="Expense",Transactions!E352+ROW()/10000000,""),"")</f>
        <v/>
      </c>
      <c r="AA350" s="31" t="str">
        <f>IFERROR(IF(Transactions!B352="Expense",Transactions!A352,""),"")</f>
        <v/>
      </c>
      <c r="AB350" s="11" t="str">
        <f>IFERROR(IF(Transactions!B352="Expense",Transactions!C352,""),"")</f>
        <v/>
      </c>
      <c r="AC350" s="11" t="str">
        <f>IFERROR(IF(Transactions!B352="Expense",Transactions!D352,""),"")</f>
        <v/>
      </c>
      <c r="AD350" s="11" t="str">
        <f>IFERROR(IF(Transactions!B352="Expense",Transactions!E352,""),"")</f>
        <v/>
      </c>
    </row>
    <row r="351" ht="15.75" customHeight="1">
      <c r="Z351" s="11" t="str">
        <f>IFERROR(IF(Transactions!B353="Expense",Transactions!E353+ROW()/10000000,""),"")</f>
        <v/>
      </c>
      <c r="AA351" s="31" t="str">
        <f>IFERROR(IF(Transactions!B353="Expense",Transactions!A353,""),"")</f>
        <v/>
      </c>
      <c r="AB351" s="11" t="str">
        <f>IFERROR(IF(Transactions!B353="Expense",Transactions!C353,""),"")</f>
        <v/>
      </c>
      <c r="AC351" s="11" t="str">
        <f>IFERROR(IF(Transactions!B353="Expense",Transactions!D353,""),"")</f>
        <v/>
      </c>
      <c r="AD351" s="11" t="str">
        <f>IFERROR(IF(Transactions!B353="Expense",Transactions!E353,""),"")</f>
        <v/>
      </c>
    </row>
    <row r="352" ht="15.75" customHeight="1">
      <c r="Z352" s="11" t="str">
        <f>IFERROR(IF(Transactions!B354="Expense",Transactions!E354+ROW()/10000000,""),"")</f>
        <v/>
      </c>
      <c r="AA352" s="31" t="str">
        <f>IFERROR(IF(Transactions!B354="Expense",Transactions!A354,""),"")</f>
        <v/>
      </c>
      <c r="AB352" s="11" t="str">
        <f>IFERROR(IF(Transactions!B354="Expense",Transactions!C354,""),"")</f>
        <v/>
      </c>
      <c r="AC352" s="11" t="str">
        <f>IFERROR(IF(Transactions!B354="Expense",Transactions!D354,""),"")</f>
        <v/>
      </c>
      <c r="AD352" s="11" t="str">
        <f>IFERROR(IF(Transactions!B354="Expense",Transactions!E354,""),"")</f>
        <v/>
      </c>
    </row>
    <row r="353" ht="15.75" customHeight="1">
      <c r="Z353" s="11" t="str">
        <f>IFERROR(IF(Transactions!B355="Expense",Transactions!E355+ROW()/10000000,""),"")</f>
        <v/>
      </c>
      <c r="AA353" s="31" t="str">
        <f>IFERROR(IF(Transactions!B355="Expense",Transactions!A355,""),"")</f>
        <v/>
      </c>
      <c r="AB353" s="11" t="str">
        <f>IFERROR(IF(Transactions!B355="Expense",Transactions!C355,""),"")</f>
        <v/>
      </c>
      <c r="AC353" s="11" t="str">
        <f>IFERROR(IF(Transactions!B355="Expense",Transactions!D355,""),"")</f>
        <v/>
      </c>
      <c r="AD353" s="11" t="str">
        <f>IFERROR(IF(Transactions!B355="Expense",Transactions!E355,""),"")</f>
        <v/>
      </c>
    </row>
    <row r="354" ht="15.75" customHeight="1">
      <c r="Z354" s="11" t="str">
        <f>IFERROR(IF(Transactions!B356="Expense",Transactions!E356+ROW()/10000000,""),"")</f>
        <v/>
      </c>
      <c r="AA354" s="31" t="str">
        <f>IFERROR(IF(Transactions!B356="Expense",Transactions!A356,""),"")</f>
        <v/>
      </c>
      <c r="AB354" s="11" t="str">
        <f>IFERROR(IF(Transactions!B356="Expense",Transactions!C356,""),"")</f>
        <v/>
      </c>
      <c r="AC354" s="11" t="str">
        <f>IFERROR(IF(Transactions!B356="Expense",Transactions!D356,""),"")</f>
        <v/>
      </c>
      <c r="AD354" s="11" t="str">
        <f>IFERROR(IF(Transactions!B356="Expense",Transactions!E356,""),"")</f>
        <v/>
      </c>
    </row>
    <row r="355" ht="15.75" customHeight="1">
      <c r="Z355" s="11" t="str">
        <f>IFERROR(IF(Transactions!B357="Expense",Transactions!E357+ROW()/10000000,""),"")</f>
        <v/>
      </c>
      <c r="AA355" s="31" t="str">
        <f>IFERROR(IF(Transactions!B357="Expense",Transactions!A357,""),"")</f>
        <v/>
      </c>
      <c r="AB355" s="11" t="str">
        <f>IFERROR(IF(Transactions!B357="Expense",Transactions!C357,""),"")</f>
        <v/>
      </c>
      <c r="AC355" s="11" t="str">
        <f>IFERROR(IF(Transactions!B357="Expense",Transactions!D357,""),"")</f>
        <v/>
      </c>
      <c r="AD355" s="11" t="str">
        <f>IFERROR(IF(Transactions!B357="Expense",Transactions!E357,""),"")</f>
        <v/>
      </c>
    </row>
    <row r="356" ht="15.75" customHeight="1">
      <c r="Z356" s="11" t="str">
        <f>IFERROR(IF(Transactions!B358="Expense",Transactions!E358+ROW()/10000000,""),"")</f>
        <v/>
      </c>
      <c r="AA356" s="31" t="str">
        <f>IFERROR(IF(Transactions!B358="Expense",Transactions!A358,""),"")</f>
        <v/>
      </c>
      <c r="AB356" s="11" t="str">
        <f>IFERROR(IF(Transactions!B358="Expense",Transactions!C358,""),"")</f>
        <v/>
      </c>
      <c r="AC356" s="11" t="str">
        <f>IFERROR(IF(Transactions!B358="Expense",Transactions!D358,""),"")</f>
        <v/>
      </c>
      <c r="AD356" s="11" t="str">
        <f>IFERROR(IF(Transactions!B358="Expense",Transactions!E358,""),"")</f>
        <v/>
      </c>
    </row>
    <row r="357" ht="15.75" customHeight="1">
      <c r="Z357" s="11" t="str">
        <f>IFERROR(IF(Transactions!B359="Expense",Transactions!E359+ROW()/10000000,""),"")</f>
        <v/>
      </c>
      <c r="AA357" s="31" t="str">
        <f>IFERROR(IF(Transactions!B359="Expense",Transactions!A359,""),"")</f>
        <v/>
      </c>
      <c r="AB357" s="11" t="str">
        <f>IFERROR(IF(Transactions!B359="Expense",Transactions!C359,""),"")</f>
        <v/>
      </c>
      <c r="AC357" s="11" t="str">
        <f>IFERROR(IF(Transactions!B359="Expense",Transactions!D359,""),"")</f>
        <v/>
      </c>
      <c r="AD357" s="11" t="str">
        <f>IFERROR(IF(Transactions!B359="Expense",Transactions!E359,""),"")</f>
        <v/>
      </c>
    </row>
    <row r="358" ht="15.75" customHeight="1">
      <c r="Z358" s="11" t="str">
        <f>IFERROR(IF(Transactions!B360="Expense",Transactions!E360+ROW()/10000000,""),"")</f>
        <v/>
      </c>
      <c r="AA358" s="31" t="str">
        <f>IFERROR(IF(Transactions!B360="Expense",Transactions!A360,""),"")</f>
        <v/>
      </c>
      <c r="AB358" s="11" t="str">
        <f>IFERROR(IF(Transactions!B360="Expense",Transactions!C360,""),"")</f>
        <v/>
      </c>
      <c r="AC358" s="11" t="str">
        <f>IFERROR(IF(Transactions!B360="Expense",Transactions!D360,""),"")</f>
        <v/>
      </c>
      <c r="AD358" s="11" t="str">
        <f>IFERROR(IF(Transactions!B360="Expense",Transactions!E360,""),"")</f>
        <v/>
      </c>
    </row>
    <row r="359" ht="15.75" customHeight="1">
      <c r="Z359" s="11" t="str">
        <f>IFERROR(IF(Transactions!B361="Expense",Transactions!E361+ROW()/10000000,""),"")</f>
        <v/>
      </c>
      <c r="AA359" s="31" t="str">
        <f>IFERROR(IF(Transactions!B361="Expense",Transactions!A361,""),"")</f>
        <v/>
      </c>
      <c r="AB359" s="11" t="str">
        <f>IFERROR(IF(Transactions!B361="Expense",Transactions!C361,""),"")</f>
        <v/>
      </c>
      <c r="AC359" s="11" t="str">
        <f>IFERROR(IF(Transactions!B361="Expense",Transactions!D361,""),"")</f>
        <v/>
      </c>
      <c r="AD359" s="11" t="str">
        <f>IFERROR(IF(Transactions!B361="Expense",Transactions!E361,""),"")</f>
        <v/>
      </c>
    </row>
    <row r="360" ht="15.75" customHeight="1">
      <c r="Z360" s="11" t="str">
        <f>IFERROR(IF(Transactions!B362="Expense",Transactions!E362+ROW()/10000000,""),"")</f>
        <v/>
      </c>
      <c r="AA360" s="31" t="str">
        <f>IFERROR(IF(Transactions!B362="Expense",Transactions!A362,""),"")</f>
        <v/>
      </c>
      <c r="AB360" s="11" t="str">
        <f>IFERROR(IF(Transactions!B362="Expense",Transactions!C362,""),"")</f>
        <v/>
      </c>
      <c r="AC360" s="11" t="str">
        <f>IFERROR(IF(Transactions!B362="Expense",Transactions!D362,""),"")</f>
        <v/>
      </c>
      <c r="AD360" s="11" t="str">
        <f>IFERROR(IF(Transactions!B362="Expense",Transactions!E362,""),"")</f>
        <v/>
      </c>
    </row>
    <row r="361" ht="15.75" customHeight="1">
      <c r="Z361" s="11" t="str">
        <f>IFERROR(IF(Transactions!B363="Expense",Transactions!E363+ROW()/10000000,""),"")</f>
        <v/>
      </c>
      <c r="AA361" s="31" t="str">
        <f>IFERROR(IF(Transactions!B363="Expense",Transactions!A363,""),"")</f>
        <v/>
      </c>
      <c r="AB361" s="11" t="str">
        <f>IFERROR(IF(Transactions!B363="Expense",Transactions!C363,""),"")</f>
        <v/>
      </c>
      <c r="AC361" s="11" t="str">
        <f>IFERROR(IF(Transactions!B363="Expense",Transactions!D363,""),"")</f>
        <v/>
      </c>
      <c r="AD361" s="11" t="str">
        <f>IFERROR(IF(Transactions!B363="Expense",Transactions!E363,""),"")</f>
        <v/>
      </c>
    </row>
    <row r="362" ht="15.75" customHeight="1">
      <c r="Z362" s="11" t="str">
        <f>IFERROR(IF(Transactions!B364="Expense",Transactions!E364+ROW()/10000000,""),"")</f>
        <v/>
      </c>
      <c r="AA362" s="31" t="str">
        <f>IFERROR(IF(Transactions!B364="Expense",Transactions!A364,""),"")</f>
        <v/>
      </c>
      <c r="AB362" s="11" t="str">
        <f>IFERROR(IF(Transactions!B364="Expense",Transactions!C364,""),"")</f>
        <v/>
      </c>
      <c r="AC362" s="11" t="str">
        <f>IFERROR(IF(Transactions!B364="Expense",Transactions!D364,""),"")</f>
        <v/>
      </c>
      <c r="AD362" s="11" t="str">
        <f>IFERROR(IF(Transactions!B364="Expense",Transactions!E364,""),"")</f>
        <v/>
      </c>
    </row>
    <row r="363" ht="15.75" customHeight="1">
      <c r="Z363" s="11" t="str">
        <f>IFERROR(IF(Transactions!B365="Expense",Transactions!E365+ROW()/10000000,""),"")</f>
        <v/>
      </c>
      <c r="AA363" s="31" t="str">
        <f>IFERROR(IF(Transactions!B365="Expense",Transactions!A365,""),"")</f>
        <v/>
      </c>
      <c r="AB363" s="11" t="str">
        <f>IFERROR(IF(Transactions!B365="Expense",Transactions!C365,""),"")</f>
        <v/>
      </c>
      <c r="AC363" s="11" t="str">
        <f>IFERROR(IF(Transactions!B365="Expense",Transactions!D365,""),"")</f>
        <v/>
      </c>
      <c r="AD363" s="11" t="str">
        <f>IFERROR(IF(Transactions!B365="Expense",Transactions!E365,""),"")</f>
        <v/>
      </c>
    </row>
    <row r="364" ht="15.75" customHeight="1">
      <c r="Z364" s="11" t="str">
        <f>IFERROR(IF(Transactions!B366="Expense",Transactions!E366+ROW()/10000000,""),"")</f>
        <v/>
      </c>
      <c r="AA364" s="31" t="str">
        <f>IFERROR(IF(Transactions!B366="Expense",Transactions!A366,""),"")</f>
        <v/>
      </c>
      <c r="AB364" s="11" t="str">
        <f>IFERROR(IF(Transactions!B366="Expense",Transactions!C366,""),"")</f>
        <v/>
      </c>
      <c r="AC364" s="11" t="str">
        <f>IFERROR(IF(Transactions!B366="Expense",Transactions!D366,""),"")</f>
        <v/>
      </c>
      <c r="AD364" s="11" t="str">
        <f>IFERROR(IF(Transactions!B366="Expense",Transactions!E366,""),"")</f>
        <v/>
      </c>
    </row>
    <row r="365" ht="15.75" customHeight="1">
      <c r="Z365" s="11" t="str">
        <f>IFERROR(IF(Transactions!B367="Expense",Transactions!E367+ROW()/10000000,""),"")</f>
        <v/>
      </c>
      <c r="AA365" s="31" t="str">
        <f>IFERROR(IF(Transactions!B367="Expense",Transactions!A367,""),"")</f>
        <v/>
      </c>
      <c r="AB365" s="11" t="str">
        <f>IFERROR(IF(Transactions!B367="Expense",Transactions!C367,""),"")</f>
        <v/>
      </c>
      <c r="AC365" s="11" t="str">
        <f>IFERROR(IF(Transactions!B367="Expense",Transactions!D367,""),"")</f>
        <v/>
      </c>
      <c r="AD365" s="11" t="str">
        <f>IFERROR(IF(Transactions!B367="Expense",Transactions!E367,""),"")</f>
        <v/>
      </c>
    </row>
    <row r="366" ht="15.75" customHeight="1">
      <c r="Z366" s="11" t="str">
        <f>IFERROR(IF(Transactions!B368="Expense",Transactions!E368+ROW()/10000000,""),"")</f>
        <v/>
      </c>
      <c r="AA366" s="31" t="str">
        <f>IFERROR(IF(Transactions!B368="Expense",Transactions!A368,""),"")</f>
        <v/>
      </c>
      <c r="AB366" s="11" t="str">
        <f>IFERROR(IF(Transactions!B368="Expense",Transactions!C368,""),"")</f>
        <v/>
      </c>
      <c r="AC366" s="11" t="str">
        <f>IFERROR(IF(Transactions!B368="Expense",Transactions!D368,""),"")</f>
        <v/>
      </c>
      <c r="AD366" s="11" t="str">
        <f>IFERROR(IF(Transactions!B368="Expense",Transactions!E368,""),"")</f>
        <v/>
      </c>
    </row>
    <row r="367" ht="15.75" customHeight="1">
      <c r="Z367" s="11" t="str">
        <f>IFERROR(IF(Transactions!B369="Expense",Transactions!E369+ROW()/10000000,""),"")</f>
        <v/>
      </c>
      <c r="AA367" s="31" t="str">
        <f>IFERROR(IF(Transactions!B369="Expense",Transactions!A369,""),"")</f>
        <v/>
      </c>
      <c r="AB367" s="11" t="str">
        <f>IFERROR(IF(Transactions!B369="Expense",Transactions!C369,""),"")</f>
        <v/>
      </c>
      <c r="AC367" s="11" t="str">
        <f>IFERROR(IF(Transactions!B369="Expense",Transactions!D369,""),"")</f>
        <v/>
      </c>
      <c r="AD367" s="11" t="str">
        <f>IFERROR(IF(Transactions!B369="Expense",Transactions!E369,""),"")</f>
        <v/>
      </c>
    </row>
    <row r="368" ht="15.75" customHeight="1">
      <c r="Z368" s="11" t="str">
        <f>IFERROR(IF(Transactions!B370="Expense",Transactions!E370+ROW()/10000000,""),"")</f>
        <v/>
      </c>
      <c r="AA368" s="31" t="str">
        <f>IFERROR(IF(Transactions!B370="Expense",Transactions!A370,""),"")</f>
        <v/>
      </c>
      <c r="AB368" s="11" t="str">
        <f>IFERROR(IF(Transactions!B370="Expense",Transactions!C370,""),"")</f>
        <v/>
      </c>
      <c r="AC368" s="11" t="str">
        <f>IFERROR(IF(Transactions!B370="Expense",Transactions!D370,""),"")</f>
        <v/>
      </c>
      <c r="AD368" s="11" t="str">
        <f>IFERROR(IF(Transactions!B370="Expense",Transactions!E370,""),"")</f>
        <v/>
      </c>
    </row>
    <row r="369" ht="15.75" customHeight="1">
      <c r="Z369" s="11" t="str">
        <f>IFERROR(IF(Transactions!B371="Expense",Transactions!E371+ROW()/10000000,""),"")</f>
        <v/>
      </c>
      <c r="AA369" s="31" t="str">
        <f>IFERROR(IF(Transactions!B371="Expense",Transactions!A371,""),"")</f>
        <v/>
      </c>
      <c r="AB369" s="11" t="str">
        <f>IFERROR(IF(Transactions!B371="Expense",Transactions!C371,""),"")</f>
        <v/>
      </c>
      <c r="AC369" s="11" t="str">
        <f>IFERROR(IF(Transactions!B371="Expense",Transactions!D371,""),"")</f>
        <v/>
      </c>
      <c r="AD369" s="11" t="str">
        <f>IFERROR(IF(Transactions!B371="Expense",Transactions!E371,""),"")</f>
        <v/>
      </c>
    </row>
    <row r="370" ht="15.75" customHeight="1">
      <c r="Z370" s="11" t="str">
        <f>IFERROR(IF(Transactions!B372="Expense",Transactions!E372+ROW()/10000000,""),"")</f>
        <v/>
      </c>
      <c r="AA370" s="31" t="str">
        <f>IFERROR(IF(Transactions!B372="Expense",Transactions!A372,""),"")</f>
        <v/>
      </c>
      <c r="AB370" s="11" t="str">
        <f>IFERROR(IF(Transactions!B372="Expense",Transactions!C372,""),"")</f>
        <v/>
      </c>
      <c r="AC370" s="11" t="str">
        <f>IFERROR(IF(Transactions!B372="Expense",Transactions!D372,""),"")</f>
        <v/>
      </c>
      <c r="AD370" s="11" t="str">
        <f>IFERROR(IF(Transactions!B372="Expense",Transactions!E372,""),"")</f>
        <v/>
      </c>
    </row>
    <row r="371" ht="15.75" customHeight="1">
      <c r="Z371" s="11" t="str">
        <f>IFERROR(IF(Transactions!B373="Expense",Transactions!E373+ROW()/10000000,""),"")</f>
        <v/>
      </c>
      <c r="AA371" s="31" t="str">
        <f>IFERROR(IF(Transactions!B373="Expense",Transactions!A373,""),"")</f>
        <v/>
      </c>
      <c r="AB371" s="11" t="str">
        <f>IFERROR(IF(Transactions!B373="Expense",Transactions!C373,""),"")</f>
        <v/>
      </c>
      <c r="AC371" s="11" t="str">
        <f>IFERROR(IF(Transactions!B373="Expense",Transactions!D373,""),"")</f>
        <v/>
      </c>
      <c r="AD371" s="11" t="str">
        <f>IFERROR(IF(Transactions!B373="Expense",Transactions!E373,""),"")</f>
        <v/>
      </c>
    </row>
    <row r="372" ht="15.75" customHeight="1">
      <c r="Z372" s="11" t="str">
        <f>IFERROR(IF(Transactions!B374="Expense",Transactions!E374+ROW()/10000000,""),"")</f>
        <v/>
      </c>
      <c r="AA372" s="31" t="str">
        <f>IFERROR(IF(Transactions!B374="Expense",Transactions!A374,""),"")</f>
        <v/>
      </c>
      <c r="AB372" s="11" t="str">
        <f>IFERROR(IF(Transactions!B374="Expense",Transactions!C374,""),"")</f>
        <v/>
      </c>
      <c r="AC372" s="11" t="str">
        <f>IFERROR(IF(Transactions!B374="Expense",Transactions!D374,""),"")</f>
        <v/>
      </c>
      <c r="AD372" s="11" t="str">
        <f>IFERROR(IF(Transactions!B374="Expense",Transactions!E374,""),"")</f>
        <v/>
      </c>
    </row>
    <row r="373" ht="15.75" customHeight="1">
      <c r="Z373" s="11" t="str">
        <f>IFERROR(IF(Transactions!B375="Expense",Transactions!E375+ROW()/10000000,""),"")</f>
        <v/>
      </c>
      <c r="AA373" s="31" t="str">
        <f>IFERROR(IF(Transactions!B375="Expense",Transactions!A375,""),"")</f>
        <v/>
      </c>
      <c r="AB373" s="11" t="str">
        <f>IFERROR(IF(Transactions!B375="Expense",Transactions!C375,""),"")</f>
        <v/>
      </c>
      <c r="AC373" s="11" t="str">
        <f>IFERROR(IF(Transactions!B375="Expense",Transactions!D375,""),"")</f>
        <v/>
      </c>
      <c r="AD373" s="11" t="str">
        <f>IFERROR(IF(Transactions!B375="Expense",Transactions!E375,""),"")</f>
        <v/>
      </c>
    </row>
    <row r="374" ht="15.75" customHeight="1">
      <c r="Z374" s="11" t="str">
        <f>IFERROR(IF(Transactions!B376="Expense",Transactions!E376+ROW()/10000000,""),"")</f>
        <v/>
      </c>
      <c r="AA374" s="31" t="str">
        <f>IFERROR(IF(Transactions!B376="Expense",Transactions!A376,""),"")</f>
        <v/>
      </c>
      <c r="AB374" s="11" t="str">
        <f>IFERROR(IF(Transactions!B376="Expense",Transactions!C376,""),"")</f>
        <v/>
      </c>
      <c r="AC374" s="11" t="str">
        <f>IFERROR(IF(Transactions!B376="Expense",Transactions!D376,""),"")</f>
        <v/>
      </c>
      <c r="AD374" s="11" t="str">
        <f>IFERROR(IF(Transactions!B376="Expense",Transactions!E376,""),"")</f>
        <v/>
      </c>
    </row>
    <row r="375" ht="15.75" customHeight="1">
      <c r="Z375" s="11" t="str">
        <f>IFERROR(IF(Transactions!B377="Expense",Transactions!E377+ROW()/10000000,""),"")</f>
        <v/>
      </c>
      <c r="AA375" s="31" t="str">
        <f>IFERROR(IF(Transactions!B377="Expense",Transactions!A377,""),"")</f>
        <v/>
      </c>
      <c r="AB375" s="11" t="str">
        <f>IFERROR(IF(Transactions!B377="Expense",Transactions!C377,""),"")</f>
        <v/>
      </c>
      <c r="AC375" s="11" t="str">
        <f>IFERROR(IF(Transactions!B377="Expense",Transactions!D377,""),"")</f>
        <v/>
      </c>
      <c r="AD375" s="11" t="str">
        <f>IFERROR(IF(Transactions!B377="Expense",Transactions!E377,""),"")</f>
        <v/>
      </c>
    </row>
    <row r="376" ht="15.75" customHeight="1">
      <c r="Z376" s="11" t="str">
        <f>IFERROR(IF(Transactions!B378="Expense",Transactions!E378+ROW()/10000000,""),"")</f>
        <v/>
      </c>
      <c r="AA376" s="31" t="str">
        <f>IFERROR(IF(Transactions!B378="Expense",Transactions!A378,""),"")</f>
        <v/>
      </c>
      <c r="AB376" s="11" t="str">
        <f>IFERROR(IF(Transactions!B378="Expense",Transactions!C378,""),"")</f>
        <v/>
      </c>
      <c r="AC376" s="11" t="str">
        <f>IFERROR(IF(Transactions!B378="Expense",Transactions!D378,""),"")</f>
        <v/>
      </c>
      <c r="AD376" s="11" t="str">
        <f>IFERROR(IF(Transactions!B378="Expense",Transactions!E378,""),"")</f>
        <v/>
      </c>
    </row>
    <row r="377" ht="15.75" customHeight="1">
      <c r="Z377" s="11" t="str">
        <f>IFERROR(IF(Transactions!B379="Expense",Transactions!E379+ROW()/10000000,""),"")</f>
        <v/>
      </c>
      <c r="AA377" s="31" t="str">
        <f>IFERROR(IF(Transactions!B379="Expense",Transactions!A379,""),"")</f>
        <v/>
      </c>
      <c r="AB377" s="11" t="str">
        <f>IFERROR(IF(Transactions!B379="Expense",Transactions!C379,""),"")</f>
        <v/>
      </c>
      <c r="AC377" s="11" t="str">
        <f>IFERROR(IF(Transactions!B379="Expense",Transactions!D379,""),"")</f>
        <v/>
      </c>
      <c r="AD377" s="11" t="str">
        <f>IFERROR(IF(Transactions!B379="Expense",Transactions!E379,""),"")</f>
        <v/>
      </c>
    </row>
    <row r="378" ht="15.75" customHeight="1">
      <c r="Z378" s="11" t="str">
        <f>IFERROR(IF(Transactions!B380="Expense",Transactions!E380+ROW()/10000000,""),"")</f>
        <v/>
      </c>
      <c r="AA378" s="31" t="str">
        <f>IFERROR(IF(Transactions!B380="Expense",Transactions!A380,""),"")</f>
        <v/>
      </c>
      <c r="AB378" s="11" t="str">
        <f>IFERROR(IF(Transactions!B380="Expense",Transactions!C380,""),"")</f>
        <v/>
      </c>
      <c r="AC378" s="11" t="str">
        <f>IFERROR(IF(Transactions!B380="Expense",Transactions!D380,""),"")</f>
        <v/>
      </c>
      <c r="AD378" s="11" t="str">
        <f>IFERROR(IF(Transactions!B380="Expense",Transactions!E380,""),"")</f>
        <v/>
      </c>
    </row>
    <row r="379" ht="15.75" customHeight="1">
      <c r="Z379" s="11" t="str">
        <f>IFERROR(IF(Transactions!B381="Expense",Transactions!E381+ROW()/10000000,""),"")</f>
        <v/>
      </c>
      <c r="AA379" s="31" t="str">
        <f>IFERROR(IF(Transactions!B381="Expense",Transactions!A381,""),"")</f>
        <v/>
      </c>
      <c r="AB379" s="11" t="str">
        <f>IFERROR(IF(Transactions!B381="Expense",Transactions!C381,""),"")</f>
        <v/>
      </c>
      <c r="AC379" s="11" t="str">
        <f>IFERROR(IF(Transactions!B381="Expense",Transactions!D381,""),"")</f>
        <v/>
      </c>
      <c r="AD379" s="11" t="str">
        <f>IFERROR(IF(Transactions!B381="Expense",Transactions!E381,""),"")</f>
        <v/>
      </c>
    </row>
    <row r="380" ht="15.75" customHeight="1">
      <c r="Z380" s="11" t="str">
        <f>IFERROR(IF(Transactions!B382="Expense",Transactions!E382+ROW()/10000000,""),"")</f>
        <v/>
      </c>
      <c r="AA380" s="31" t="str">
        <f>IFERROR(IF(Transactions!B382="Expense",Transactions!A382,""),"")</f>
        <v/>
      </c>
      <c r="AB380" s="11" t="str">
        <f>IFERROR(IF(Transactions!B382="Expense",Transactions!C382,""),"")</f>
        <v/>
      </c>
      <c r="AC380" s="11" t="str">
        <f>IFERROR(IF(Transactions!B382="Expense",Transactions!D382,""),"")</f>
        <v/>
      </c>
      <c r="AD380" s="11" t="str">
        <f>IFERROR(IF(Transactions!B382="Expense",Transactions!E382,""),"")</f>
        <v/>
      </c>
    </row>
    <row r="381" ht="15.75" customHeight="1">
      <c r="Z381" s="11" t="str">
        <f>IFERROR(IF(Transactions!B383="Expense",Transactions!E383+ROW()/10000000,""),"")</f>
        <v/>
      </c>
      <c r="AA381" s="31" t="str">
        <f>IFERROR(IF(Transactions!B383="Expense",Transactions!A383,""),"")</f>
        <v/>
      </c>
      <c r="AB381" s="11" t="str">
        <f>IFERROR(IF(Transactions!B383="Expense",Transactions!C383,""),"")</f>
        <v/>
      </c>
      <c r="AC381" s="11" t="str">
        <f>IFERROR(IF(Transactions!B383="Expense",Transactions!D383,""),"")</f>
        <v/>
      </c>
      <c r="AD381" s="11" t="str">
        <f>IFERROR(IF(Transactions!B383="Expense",Transactions!E383,""),"")</f>
        <v/>
      </c>
    </row>
    <row r="382" ht="15.75" customHeight="1">
      <c r="Z382" s="11" t="str">
        <f>IFERROR(IF(Transactions!B384="Expense",Transactions!E384+ROW()/10000000,""),"")</f>
        <v/>
      </c>
      <c r="AA382" s="31" t="str">
        <f>IFERROR(IF(Transactions!B384="Expense",Transactions!A384,""),"")</f>
        <v/>
      </c>
      <c r="AB382" s="11" t="str">
        <f>IFERROR(IF(Transactions!B384="Expense",Transactions!C384,""),"")</f>
        <v/>
      </c>
      <c r="AC382" s="11" t="str">
        <f>IFERROR(IF(Transactions!B384="Expense",Transactions!D384,""),"")</f>
        <v/>
      </c>
      <c r="AD382" s="11" t="str">
        <f>IFERROR(IF(Transactions!B384="Expense",Transactions!E384,""),"")</f>
        <v/>
      </c>
    </row>
    <row r="383" ht="15.75" customHeight="1">
      <c r="Z383" s="11" t="str">
        <f>IFERROR(IF(Transactions!B385="Expense",Transactions!E385+ROW()/10000000,""),"")</f>
        <v/>
      </c>
      <c r="AA383" s="31" t="str">
        <f>IFERROR(IF(Transactions!B385="Expense",Transactions!A385,""),"")</f>
        <v/>
      </c>
      <c r="AB383" s="11" t="str">
        <f>IFERROR(IF(Transactions!B385="Expense",Transactions!C385,""),"")</f>
        <v/>
      </c>
      <c r="AC383" s="11" t="str">
        <f>IFERROR(IF(Transactions!B385="Expense",Transactions!D385,""),"")</f>
        <v/>
      </c>
      <c r="AD383" s="11" t="str">
        <f>IFERROR(IF(Transactions!B385="Expense",Transactions!E385,""),"")</f>
        <v/>
      </c>
    </row>
    <row r="384" ht="15.75" customHeight="1">
      <c r="Z384" s="11" t="str">
        <f>IFERROR(IF(Transactions!B386="Expense",Transactions!E386+ROW()/10000000,""),"")</f>
        <v/>
      </c>
      <c r="AA384" s="31" t="str">
        <f>IFERROR(IF(Transactions!B386="Expense",Transactions!A386,""),"")</f>
        <v/>
      </c>
      <c r="AB384" s="11" t="str">
        <f>IFERROR(IF(Transactions!B386="Expense",Transactions!C386,""),"")</f>
        <v/>
      </c>
      <c r="AC384" s="11" t="str">
        <f>IFERROR(IF(Transactions!B386="Expense",Transactions!D386,""),"")</f>
        <v/>
      </c>
      <c r="AD384" s="11" t="str">
        <f>IFERROR(IF(Transactions!B386="Expense",Transactions!E386,""),"")</f>
        <v/>
      </c>
    </row>
    <row r="385" ht="15.75" customHeight="1">
      <c r="Z385" s="11" t="str">
        <f>IFERROR(IF(Transactions!B387="Expense",Transactions!E387+ROW()/10000000,""),"")</f>
        <v/>
      </c>
      <c r="AA385" s="31" t="str">
        <f>IFERROR(IF(Transactions!B387="Expense",Transactions!A387,""),"")</f>
        <v/>
      </c>
      <c r="AB385" s="11" t="str">
        <f>IFERROR(IF(Transactions!B387="Expense",Transactions!C387,""),"")</f>
        <v/>
      </c>
      <c r="AC385" s="11" t="str">
        <f>IFERROR(IF(Transactions!B387="Expense",Transactions!D387,""),"")</f>
        <v/>
      </c>
      <c r="AD385" s="11" t="str">
        <f>IFERROR(IF(Transactions!B387="Expense",Transactions!E387,""),"")</f>
        <v/>
      </c>
    </row>
    <row r="386" ht="15.75" customHeight="1">
      <c r="Z386" s="11" t="str">
        <f>IFERROR(IF(Transactions!B388="Expense",Transactions!E388+ROW()/10000000,""),"")</f>
        <v/>
      </c>
      <c r="AA386" s="31" t="str">
        <f>IFERROR(IF(Transactions!B388="Expense",Transactions!A388,""),"")</f>
        <v/>
      </c>
      <c r="AB386" s="11" t="str">
        <f>IFERROR(IF(Transactions!B388="Expense",Transactions!C388,""),"")</f>
        <v/>
      </c>
      <c r="AC386" s="11" t="str">
        <f>IFERROR(IF(Transactions!B388="Expense",Transactions!D388,""),"")</f>
        <v/>
      </c>
      <c r="AD386" s="11" t="str">
        <f>IFERROR(IF(Transactions!B388="Expense",Transactions!E388,""),"")</f>
        <v/>
      </c>
    </row>
    <row r="387" ht="15.75" customHeight="1">
      <c r="Z387" s="11" t="str">
        <f>IFERROR(IF(Transactions!B389="Expense",Transactions!E389+ROW()/10000000,""),"")</f>
        <v/>
      </c>
      <c r="AA387" s="31" t="str">
        <f>IFERROR(IF(Transactions!B389="Expense",Transactions!A389,""),"")</f>
        <v/>
      </c>
      <c r="AB387" s="11" t="str">
        <f>IFERROR(IF(Transactions!B389="Expense",Transactions!C389,""),"")</f>
        <v/>
      </c>
      <c r="AC387" s="11" t="str">
        <f>IFERROR(IF(Transactions!B389="Expense",Transactions!D389,""),"")</f>
        <v/>
      </c>
      <c r="AD387" s="11" t="str">
        <f>IFERROR(IF(Transactions!B389="Expense",Transactions!E389,""),"")</f>
        <v/>
      </c>
    </row>
    <row r="388" ht="15.75" customHeight="1">
      <c r="Z388" s="11" t="str">
        <f>IFERROR(IF(Transactions!B390="Expense",Transactions!E390+ROW()/10000000,""),"")</f>
        <v/>
      </c>
      <c r="AA388" s="31" t="str">
        <f>IFERROR(IF(Transactions!B390="Expense",Transactions!A390,""),"")</f>
        <v/>
      </c>
      <c r="AB388" s="11" t="str">
        <f>IFERROR(IF(Transactions!B390="Expense",Transactions!C390,""),"")</f>
        <v/>
      </c>
      <c r="AC388" s="11" t="str">
        <f>IFERROR(IF(Transactions!B390="Expense",Transactions!D390,""),"")</f>
        <v/>
      </c>
      <c r="AD388" s="11" t="str">
        <f>IFERROR(IF(Transactions!B390="Expense",Transactions!E390,""),"")</f>
        <v/>
      </c>
    </row>
    <row r="389" ht="15.75" customHeight="1">
      <c r="Z389" s="11" t="str">
        <f>IFERROR(IF(Transactions!B391="Expense",Transactions!E391+ROW()/10000000,""),"")</f>
        <v/>
      </c>
      <c r="AA389" s="31" t="str">
        <f>IFERROR(IF(Transactions!B391="Expense",Transactions!A391,""),"")</f>
        <v/>
      </c>
      <c r="AB389" s="11" t="str">
        <f>IFERROR(IF(Transactions!B391="Expense",Transactions!C391,""),"")</f>
        <v/>
      </c>
      <c r="AC389" s="11" t="str">
        <f>IFERROR(IF(Transactions!B391="Expense",Transactions!D391,""),"")</f>
        <v/>
      </c>
      <c r="AD389" s="11" t="str">
        <f>IFERROR(IF(Transactions!B391="Expense",Transactions!E391,""),"")</f>
        <v/>
      </c>
    </row>
    <row r="390" ht="15.75" customHeight="1">
      <c r="Z390" s="11" t="str">
        <f>IFERROR(IF(Transactions!B392="Expense",Transactions!E392+ROW()/10000000,""),"")</f>
        <v/>
      </c>
      <c r="AA390" s="31" t="str">
        <f>IFERROR(IF(Transactions!B392="Expense",Transactions!A392,""),"")</f>
        <v/>
      </c>
      <c r="AB390" s="11" t="str">
        <f>IFERROR(IF(Transactions!B392="Expense",Transactions!C392,""),"")</f>
        <v/>
      </c>
      <c r="AC390" s="11" t="str">
        <f>IFERROR(IF(Transactions!B392="Expense",Transactions!D392,""),"")</f>
        <v/>
      </c>
      <c r="AD390" s="11" t="str">
        <f>IFERROR(IF(Transactions!B392="Expense",Transactions!E392,""),"")</f>
        <v/>
      </c>
    </row>
    <row r="391" ht="15.75" customHeight="1">
      <c r="Z391" s="11" t="str">
        <f>IFERROR(IF(Transactions!B393="Expense",Transactions!E393+ROW()/10000000,""),"")</f>
        <v/>
      </c>
      <c r="AA391" s="31" t="str">
        <f>IFERROR(IF(Transactions!B393="Expense",Transactions!A393,""),"")</f>
        <v/>
      </c>
      <c r="AB391" s="11" t="str">
        <f>IFERROR(IF(Transactions!B393="Expense",Transactions!C393,""),"")</f>
        <v/>
      </c>
      <c r="AC391" s="11" t="str">
        <f>IFERROR(IF(Transactions!B393="Expense",Transactions!D393,""),"")</f>
        <v/>
      </c>
      <c r="AD391" s="11" t="str">
        <f>IFERROR(IF(Transactions!B393="Expense",Transactions!E393,""),"")</f>
        <v/>
      </c>
    </row>
    <row r="392" ht="15.75" customHeight="1">
      <c r="Z392" s="11" t="str">
        <f>IFERROR(IF(Transactions!B394="Expense",Transactions!E394+ROW()/10000000,""),"")</f>
        <v/>
      </c>
      <c r="AA392" s="31" t="str">
        <f>IFERROR(IF(Transactions!B394="Expense",Transactions!A394,""),"")</f>
        <v/>
      </c>
      <c r="AB392" s="11" t="str">
        <f>IFERROR(IF(Transactions!B394="Expense",Transactions!C394,""),"")</f>
        <v/>
      </c>
      <c r="AC392" s="11" t="str">
        <f>IFERROR(IF(Transactions!B394="Expense",Transactions!D394,""),"")</f>
        <v/>
      </c>
      <c r="AD392" s="11" t="str">
        <f>IFERROR(IF(Transactions!B394="Expense",Transactions!E394,""),"")</f>
        <v/>
      </c>
    </row>
    <row r="393" ht="15.75" customHeight="1">
      <c r="Z393" s="11" t="str">
        <f>IFERROR(IF(Transactions!B395="Expense",Transactions!E395+ROW()/10000000,""),"")</f>
        <v/>
      </c>
      <c r="AA393" s="31" t="str">
        <f>IFERROR(IF(Transactions!B395="Expense",Transactions!A395,""),"")</f>
        <v/>
      </c>
      <c r="AB393" s="11" t="str">
        <f>IFERROR(IF(Transactions!B395="Expense",Transactions!C395,""),"")</f>
        <v/>
      </c>
      <c r="AC393" s="11" t="str">
        <f>IFERROR(IF(Transactions!B395="Expense",Transactions!D395,""),"")</f>
        <v/>
      </c>
      <c r="AD393" s="11" t="str">
        <f>IFERROR(IF(Transactions!B395="Expense",Transactions!E395,""),"")</f>
        <v/>
      </c>
    </row>
    <row r="394" ht="15.75" customHeight="1">
      <c r="Z394" s="11" t="str">
        <f>IFERROR(IF(Transactions!B396="Expense",Transactions!E396+ROW()/10000000,""),"")</f>
        <v/>
      </c>
      <c r="AA394" s="31" t="str">
        <f>IFERROR(IF(Transactions!B396="Expense",Transactions!A396,""),"")</f>
        <v/>
      </c>
      <c r="AB394" s="11" t="str">
        <f>IFERROR(IF(Transactions!B396="Expense",Transactions!C396,""),"")</f>
        <v/>
      </c>
      <c r="AC394" s="11" t="str">
        <f>IFERROR(IF(Transactions!B396="Expense",Transactions!D396,""),"")</f>
        <v/>
      </c>
      <c r="AD394" s="11" t="str">
        <f>IFERROR(IF(Transactions!B396="Expense",Transactions!E396,""),"")</f>
        <v/>
      </c>
    </row>
    <row r="395" ht="15.75" customHeight="1">
      <c r="Z395" s="11" t="str">
        <f>IFERROR(IF(Transactions!B397="Expense",Transactions!E397+ROW()/10000000,""),"")</f>
        <v/>
      </c>
      <c r="AA395" s="31" t="str">
        <f>IFERROR(IF(Transactions!B397="Expense",Transactions!A397,""),"")</f>
        <v/>
      </c>
      <c r="AB395" s="11" t="str">
        <f>IFERROR(IF(Transactions!B397="Expense",Transactions!C397,""),"")</f>
        <v/>
      </c>
      <c r="AC395" s="11" t="str">
        <f>IFERROR(IF(Transactions!B397="Expense",Transactions!D397,""),"")</f>
        <v/>
      </c>
      <c r="AD395" s="11" t="str">
        <f>IFERROR(IF(Transactions!B397="Expense",Transactions!E397,""),"")</f>
        <v/>
      </c>
    </row>
    <row r="396" ht="15.75" customHeight="1">
      <c r="Z396" s="11" t="str">
        <f>IFERROR(IF(Transactions!B398="Expense",Transactions!E398+ROW()/10000000,""),"")</f>
        <v/>
      </c>
      <c r="AA396" s="31" t="str">
        <f>IFERROR(IF(Transactions!B398="Expense",Transactions!A398,""),"")</f>
        <v/>
      </c>
      <c r="AB396" s="11" t="str">
        <f>IFERROR(IF(Transactions!B398="Expense",Transactions!C398,""),"")</f>
        <v/>
      </c>
      <c r="AC396" s="11" t="str">
        <f>IFERROR(IF(Transactions!B398="Expense",Transactions!D398,""),"")</f>
        <v/>
      </c>
      <c r="AD396" s="11" t="str">
        <f>IFERROR(IF(Transactions!B398="Expense",Transactions!E398,""),"")</f>
        <v/>
      </c>
    </row>
    <row r="397" ht="15.75" customHeight="1">
      <c r="Z397" s="11" t="str">
        <f>IFERROR(IF(Transactions!B399="Expense",Transactions!E399+ROW()/10000000,""),"")</f>
        <v/>
      </c>
      <c r="AA397" s="31" t="str">
        <f>IFERROR(IF(Transactions!B399="Expense",Transactions!A399,""),"")</f>
        <v/>
      </c>
      <c r="AB397" s="11" t="str">
        <f>IFERROR(IF(Transactions!B399="Expense",Transactions!C399,""),"")</f>
        <v/>
      </c>
      <c r="AC397" s="11" t="str">
        <f>IFERROR(IF(Transactions!B399="Expense",Transactions!D399,""),"")</f>
        <v/>
      </c>
      <c r="AD397" s="11" t="str">
        <f>IFERROR(IF(Transactions!B399="Expense",Transactions!E399,""),"")</f>
        <v/>
      </c>
    </row>
    <row r="398" ht="15.75" customHeight="1">
      <c r="Z398" s="11" t="str">
        <f>IFERROR(IF(Transactions!B400="Expense",Transactions!E400+ROW()/10000000,""),"")</f>
        <v/>
      </c>
      <c r="AA398" s="31" t="str">
        <f>IFERROR(IF(Transactions!B400="Expense",Transactions!A400,""),"")</f>
        <v/>
      </c>
      <c r="AB398" s="11" t="str">
        <f>IFERROR(IF(Transactions!B400="Expense",Transactions!C400,""),"")</f>
        <v/>
      </c>
      <c r="AC398" s="11" t="str">
        <f>IFERROR(IF(Transactions!B400="Expense",Transactions!D400,""),"")</f>
        <v/>
      </c>
      <c r="AD398" s="11" t="str">
        <f>IFERROR(IF(Transactions!B400="Expense",Transactions!E400,""),"")</f>
        <v/>
      </c>
    </row>
    <row r="399" ht="15.75" customHeight="1">
      <c r="Z399" s="11" t="str">
        <f>IFERROR(IF(Transactions!B401="Expense",Transactions!E401+ROW()/10000000,""),"")</f>
        <v/>
      </c>
      <c r="AA399" s="31" t="str">
        <f>IFERROR(IF(Transactions!B401="Expense",Transactions!A401,""),"")</f>
        <v/>
      </c>
      <c r="AB399" s="11" t="str">
        <f>IFERROR(IF(Transactions!B401="Expense",Transactions!C401,""),"")</f>
        <v/>
      </c>
      <c r="AC399" s="11" t="str">
        <f>IFERROR(IF(Transactions!B401="Expense",Transactions!D401,""),"")</f>
        <v/>
      </c>
      <c r="AD399" s="11" t="str">
        <f>IFERROR(IF(Transactions!B401="Expense",Transactions!E401,""),"")</f>
        <v/>
      </c>
    </row>
    <row r="400" ht="15.75" customHeight="1">
      <c r="Z400" s="11" t="str">
        <f>IFERROR(IF(Transactions!B402="Expense",Transactions!E402+ROW()/10000000,""),"")</f>
        <v/>
      </c>
      <c r="AA400" s="31" t="str">
        <f>IFERROR(IF(Transactions!B402="Expense",Transactions!A402,""),"")</f>
        <v/>
      </c>
      <c r="AB400" s="11" t="str">
        <f>IFERROR(IF(Transactions!B402="Expense",Transactions!C402,""),"")</f>
        <v/>
      </c>
      <c r="AC400" s="11" t="str">
        <f>IFERROR(IF(Transactions!B402="Expense",Transactions!D402,""),"")</f>
        <v/>
      </c>
      <c r="AD400" s="11" t="str">
        <f>IFERROR(IF(Transactions!B402="Expense",Transactions!E402,""),"")</f>
        <v/>
      </c>
    </row>
    <row r="401" ht="15.75" customHeight="1">
      <c r="Z401" s="11" t="str">
        <f>IFERROR(IF(Transactions!B403="Expense",Transactions!E403+ROW()/10000000,""),"")</f>
        <v/>
      </c>
      <c r="AA401" s="31" t="str">
        <f>IFERROR(IF(Transactions!B403="Expense",Transactions!A403,""),"")</f>
        <v/>
      </c>
      <c r="AB401" s="11" t="str">
        <f>IFERROR(IF(Transactions!B403="Expense",Transactions!C403,""),"")</f>
        <v/>
      </c>
      <c r="AC401" s="11" t="str">
        <f>IFERROR(IF(Transactions!B403="Expense",Transactions!D403,""),"")</f>
        <v/>
      </c>
      <c r="AD401" s="11" t="str">
        <f>IFERROR(IF(Transactions!B403="Expense",Transactions!E403,""),"")</f>
        <v/>
      </c>
    </row>
    <row r="402" ht="15.75" customHeight="1">
      <c r="Z402" s="11" t="str">
        <f>IFERROR(IF(Transactions!B404="Expense",Transactions!E404+ROW()/10000000,""),"")</f>
        <v/>
      </c>
      <c r="AA402" s="31" t="str">
        <f>IFERROR(IF(Transactions!B404="Expense",Transactions!A404,""),"")</f>
        <v/>
      </c>
      <c r="AB402" s="11" t="str">
        <f>IFERROR(IF(Transactions!B404="Expense",Transactions!C404,""),"")</f>
        <v/>
      </c>
      <c r="AC402" s="11" t="str">
        <f>IFERROR(IF(Transactions!B404="Expense",Transactions!D404,""),"")</f>
        <v/>
      </c>
      <c r="AD402" s="11" t="str">
        <f>IFERROR(IF(Transactions!B404="Expense",Transactions!E404,""),"")</f>
        <v/>
      </c>
    </row>
    <row r="403" ht="15.75" customHeight="1">
      <c r="Z403" s="11" t="str">
        <f>IFERROR(IF(Transactions!B405="Expense",Transactions!E405+ROW()/10000000,""),"")</f>
        <v/>
      </c>
      <c r="AA403" s="31" t="str">
        <f>IFERROR(IF(Transactions!B405="Expense",Transactions!A405,""),"")</f>
        <v/>
      </c>
      <c r="AB403" s="11" t="str">
        <f>IFERROR(IF(Transactions!B405="Expense",Transactions!C405,""),"")</f>
        <v/>
      </c>
      <c r="AC403" s="11" t="str">
        <f>IFERROR(IF(Transactions!B405="Expense",Transactions!D405,""),"")</f>
        <v/>
      </c>
      <c r="AD403" s="11" t="str">
        <f>IFERROR(IF(Transactions!B405="Expense",Transactions!E405,""),"")</f>
        <v/>
      </c>
    </row>
    <row r="404" ht="15.75" customHeight="1">
      <c r="Z404" s="11" t="str">
        <f>IFERROR(IF(Transactions!B406="Expense",Transactions!E406+ROW()/10000000,""),"")</f>
        <v/>
      </c>
      <c r="AA404" s="31" t="str">
        <f>IFERROR(IF(Transactions!B406="Expense",Transactions!A406,""),"")</f>
        <v/>
      </c>
      <c r="AB404" s="11" t="str">
        <f>IFERROR(IF(Transactions!B406="Expense",Transactions!C406,""),"")</f>
        <v/>
      </c>
      <c r="AC404" s="11" t="str">
        <f>IFERROR(IF(Transactions!B406="Expense",Transactions!D406,""),"")</f>
        <v/>
      </c>
      <c r="AD404" s="11" t="str">
        <f>IFERROR(IF(Transactions!B406="Expense",Transactions!E406,""),"")</f>
        <v/>
      </c>
    </row>
    <row r="405" ht="15.75" customHeight="1">
      <c r="Z405" s="11" t="str">
        <f>IFERROR(IF(Transactions!B407="Expense",Transactions!E407+ROW()/10000000,""),"")</f>
        <v/>
      </c>
      <c r="AA405" s="31" t="str">
        <f>IFERROR(IF(Transactions!B407="Expense",Transactions!A407,""),"")</f>
        <v/>
      </c>
      <c r="AB405" s="11" t="str">
        <f>IFERROR(IF(Transactions!B407="Expense",Transactions!C407,""),"")</f>
        <v/>
      </c>
      <c r="AC405" s="11" t="str">
        <f>IFERROR(IF(Transactions!B407="Expense",Transactions!D407,""),"")</f>
        <v/>
      </c>
      <c r="AD405" s="11" t="str">
        <f>IFERROR(IF(Transactions!B407="Expense",Transactions!E407,""),"")</f>
        <v/>
      </c>
    </row>
    <row r="406" ht="15.75" customHeight="1">
      <c r="Z406" s="11" t="str">
        <f>IFERROR(IF(Transactions!B408="Expense",Transactions!E408+ROW()/10000000,""),"")</f>
        <v/>
      </c>
      <c r="AA406" s="31" t="str">
        <f>IFERROR(IF(Transactions!B408="Expense",Transactions!A408,""),"")</f>
        <v/>
      </c>
      <c r="AB406" s="11" t="str">
        <f>IFERROR(IF(Transactions!B408="Expense",Transactions!C408,""),"")</f>
        <v/>
      </c>
      <c r="AC406" s="11" t="str">
        <f>IFERROR(IF(Transactions!B408="Expense",Transactions!D408,""),"")</f>
        <v/>
      </c>
      <c r="AD406" s="11" t="str">
        <f>IFERROR(IF(Transactions!B408="Expense",Transactions!E408,""),"")</f>
        <v/>
      </c>
    </row>
    <row r="407" ht="15.75" customHeight="1">
      <c r="Z407" s="11" t="str">
        <f>IFERROR(IF(Transactions!B409="Expense",Transactions!E409+ROW()/10000000,""),"")</f>
        <v/>
      </c>
      <c r="AA407" s="31" t="str">
        <f>IFERROR(IF(Transactions!B409="Expense",Transactions!A409,""),"")</f>
        <v/>
      </c>
      <c r="AB407" s="11" t="str">
        <f>IFERROR(IF(Transactions!B409="Expense",Transactions!C409,""),"")</f>
        <v/>
      </c>
      <c r="AC407" s="11" t="str">
        <f>IFERROR(IF(Transactions!B409="Expense",Transactions!D409,""),"")</f>
        <v/>
      </c>
      <c r="AD407" s="11" t="str">
        <f>IFERROR(IF(Transactions!B409="Expense",Transactions!E409,""),"")</f>
        <v/>
      </c>
    </row>
    <row r="408" ht="15.75" customHeight="1">
      <c r="Z408" s="11" t="str">
        <f>IFERROR(IF(Transactions!B410="Expense",Transactions!E410+ROW()/10000000,""),"")</f>
        <v/>
      </c>
      <c r="AA408" s="31" t="str">
        <f>IFERROR(IF(Transactions!B410="Expense",Transactions!A410,""),"")</f>
        <v/>
      </c>
      <c r="AB408" s="11" t="str">
        <f>IFERROR(IF(Transactions!B410="Expense",Transactions!C410,""),"")</f>
        <v/>
      </c>
      <c r="AC408" s="11" t="str">
        <f>IFERROR(IF(Transactions!B410="Expense",Transactions!D410,""),"")</f>
        <v/>
      </c>
      <c r="AD408" s="11" t="str">
        <f>IFERROR(IF(Transactions!B410="Expense",Transactions!E410,""),"")</f>
        <v/>
      </c>
    </row>
    <row r="409" ht="15.75" customHeight="1">
      <c r="Z409" s="11" t="str">
        <f>IFERROR(IF(Transactions!B411="Expense",Transactions!E411+ROW()/10000000,""),"")</f>
        <v/>
      </c>
      <c r="AA409" s="31" t="str">
        <f>IFERROR(IF(Transactions!B411="Expense",Transactions!A411,""),"")</f>
        <v/>
      </c>
      <c r="AB409" s="11" t="str">
        <f>IFERROR(IF(Transactions!B411="Expense",Transactions!C411,""),"")</f>
        <v/>
      </c>
      <c r="AC409" s="11" t="str">
        <f>IFERROR(IF(Transactions!B411="Expense",Transactions!D411,""),"")</f>
        <v/>
      </c>
      <c r="AD409" s="11" t="str">
        <f>IFERROR(IF(Transactions!B411="Expense",Transactions!E411,""),"")</f>
        <v/>
      </c>
    </row>
    <row r="410" ht="15.75" customHeight="1">
      <c r="Z410" s="11" t="str">
        <f>IFERROR(IF(Transactions!B412="Expense",Transactions!E412+ROW()/10000000,""),"")</f>
        <v/>
      </c>
      <c r="AA410" s="31" t="str">
        <f>IFERROR(IF(Transactions!B412="Expense",Transactions!A412,""),"")</f>
        <v/>
      </c>
      <c r="AB410" s="11" t="str">
        <f>IFERROR(IF(Transactions!B412="Expense",Transactions!C412,""),"")</f>
        <v/>
      </c>
      <c r="AC410" s="11" t="str">
        <f>IFERROR(IF(Transactions!B412="Expense",Transactions!D412,""),"")</f>
        <v/>
      </c>
      <c r="AD410" s="11" t="str">
        <f>IFERROR(IF(Transactions!B412="Expense",Transactions!E412,""),"")</f>
        <v/>
      </c>
    </row>
    <row r="411" ht="15.75" customHeight="1">
      <c r="Z411" s="11" t="str">
        <f>IFERROR(IF(Transactions!B413="Expense",Transactions!E413+ROW()/10000000,""),"")</f>
        <v/>
      </c>
      <c r="AA411" s="31" t="str">
        <f>IFERROR(IF(Transactions!B413="Expense",Transactions!A413,""),"")</f>
        <v/>
      </c>
      <c r="AB411" s="11" t="str">
        <f>IFERROR(IF(Transactions!B413="Expense",Transactions!C413,""),"")</f>
        <v/>
      </c>
      <c r="AC411" s="11" t="str">
        <f>IFERROR(IF(Transactions!B413="Expense",Transactions!D413,""),"")</f>
        <v/>
      </c>
      <c r="AD411" s="11" t="str">
        <f>IFERROR(IF(Transactions!B413="Expense",Transactions!E413,""),"")</f>
        <v/>
      </c>
    </row>
    <row r="412" ht="15.75" customHeight="1">
      <c r="Z412" s="11" t="str">
        <f>IFERROR(IF(Transactions!B414="Expense",Transactions!E414+ROW()/10000000,""),"")</f>
        <v/>
      </c>
      <c r="AA412" s="31" t="str">
        <f>IFERROR(IF(Transactions!B414="Expense",Transactions!A414,""),"")</f>
        <v/>
      </c>
      <c r="AB412" s="11" t="str">
        <f>IFERROR(IF(Transactions!B414="Expense",Transactions!C414,""),"")</f>
        <v/>
      </c>
      <c r="AC412" s="11" t="str">
        <f>IFERROR(IF(Transactions!B414="Expense",Transactions!D414,""),"")</f>
        <v/>
      </c>
      <c r="AD412" s="11" t="str">
        <f>IFERROR(IF(Transactions!B414="Expense",Transactions!E414,""),"")</f>
        <v/>
      </c>
    </row>
    <row r="413" ht="15.75" customHeight="1">
      <c r="Z413" s="11" t="str">
        <f>IFERROR(IF(Transactions!B415="Expense",Transactions!E415+ROW()/10000000,""),"")</f>
        <v/>
      </c>
      <c r="AA413" s="31" t="str">
        <f>IFERROR(IF(Transactions!B415="Expense",Transactions!A415,""),"")</f>
        <v/>
      </c>
      <c r="AB413" s="11" t="str">
        <f>IFERROR(IF(Transactions!B415="Expense",Transactions!C415,""),"")</f>
        <v/>
      </c>
      <c r="AC413" s="11" t="str">
        <f>IFERROR(IF(Transactions!B415="Expense",Transactions!D415,""),"")</f>
        <v/>
      </c>
      <c r="AD413" s="11" t="str">
        <f>IFERROR(IF(Transactions!B415="Expense",Transactions!E415,""),"")</f>
        <v/>
      </c>
    </row>
    <row r="414" ht="15.75" customHeight="1">
      <c r="Z414" s="11" t="str">
        <f>IFERROR(IF(Transactions!B416="Expense",Transactions!E416+ROW()/10000000,""),"")</f>
        <v/>
      </c>
      <c r="AA414" s="31" t="str">
        <f>IFERROR(IF(Transactions!B416="Expense",Transactions!A416,""),"")</f>
        <v/>
      </c>
      <c r="AB414" s="11" t="str">
        <f>IFERROR(IF(Transactions!B416="Expense",Transactions!C416,""),"")</f>
        <v/>
      </c>
      <c r="AC414" s="11" t="str">
        <f>IFERROR(IF(Transactions!B416="Expense",Transactions!D416,""),"")</f>
        <v/>
      </c>
      <c r="AD414" s="11" t="str">
        <f>IFERROR(IF(Transactions!B416="Expense",Transactions!E416,""),"")</f>
        <v/>
      </c>
    </row>
    <row r="415" ht="15.75" customHeight="1">
      <c r="Z415" s="11" t="str">
        <f>IFERROR(IF(Transactions!B417="Expense",Transactions!E417+ROW()/10000000,""),"")</f>
        <v/>
      </c>
      <c r="AA415" s="31" t="str">
        <f>IFERROR(IF(Transactions!B417="Expense",Transactions!A417,""),"")</f>
        <v/>
      </c>
      <c r="AB415" s="11" t="str">
        <f>IFERROR(IF(Transactions!B417="Expense",Transactions!C417,""),"")</f>
        <v/>
      </c>
      <c r="AC415" s="11" t="str">
        <f>IFERROR(IF(Transactions!B417="Expense",Transactions!D417,""),"")</f>
        <v/>
      </c>
      <c r="AD415" s="11" t="str">
        <f>IFERROR(IF(Transactions!B417="Expense",Transactions!E417,""),"")</f>
        <v/>
      </c>
    </row>
    <row r="416" ht="15.75" customHeight="1">
      <c r="Z416" s="11" t="str">
        <f>IFERROR(IF(Transactions!B418="Expense",Transactions!E418+ROW()/10000000,""),"")</f>
        <v/>
      </c>
      <c r="AA416" s="31" t="str">
        <f>IFERROR(IF(Transactions!B418="Expense",Transactions!A418,""),"")</f>
        <v/>
      </c>
      <c r="AB416" s="11" t="str">
        <f>IFERROR(IF(Transactions!B418="Expense",Transactions!C418,""),"")</f>
        <v/>
      </c>
      <c r="AC416" s="11" t="str">
        <f>IFERROR(IF(Transactions!B418="Expense",Transactions!D418,""),"")</f>
        <v/>
      </c>
      <c r="AD416" s="11" t="str">
        <f>IFERROR(IF(Transactions!B418="Expense",Transactions!E418,""),"")</f>
        <v/>
      </c>
    </row>
    <row r="417" ht="15.75" customHeight="1">
      <c r="Z417" s="11" t="str">
        <f>IFERROR(IF(Transactions!B419="Expense",Transactions!E419+ROW()/10000000,""),"")</f>
        <v/>
      </c>
      <c r="AA417" s="31" t="str">
        <f>IFERROR(IF(Transactions!B419="Expense",Transactions!A419,""),"")</f>
        <v/>
      </c>
      <c r="AB417" s="11" t="str">
        <f>IFERROR(IF(Transactions!B419="Expense",Transactions!C419,""),"")</f>
        <v/>
      </c>
      <c r="AC417" s="11" t="str">
        <f>IFERROR(IF(Transactions!B419="Expense",Transactions!D419,""),"")</f>
        <v/>
      </c>
      <c r="AD417" s="11" t="str">
        <f>IFERROR(IF(Transactions!B419="Expense",Transactions!E419,""),"")</f>
        <v/>
      </c>
    </row>
    <row r="418" ht="15.75" customHeight="1">
      <c r="Z418" s="11" t="str">
        <f>IFERROR(IF(Transactions!B420="Expense",Transactions!E420+ROW()/10000000,""),"")</f>
        <v/>
      </c>
      <c r="AA418" s="31" t="str">
        <f>IFERROR(IF(Transactions!B420="Expense",Transactions!A420,""),"")</f>
        <v/>
      </c>
      <c r="AB418" s="11" t="str">
        <f>IFERROR(IF(Transactions!B420="Expense",Transactions!C420,""),"")</f>
        <v/>
      </c>
      <c r="AC418" s="11" t="str">
        <f>IFERROR(IF(Transactions!B420="Expense",Transactions!D420,""),"")</f>
        <v/>
      </c>
      <c r="AD418" s="11" t="str">
        <f>IFERROR(IF(Transactions!B420="Expense",Transactions!E420,""),"")</f>
        <v/>
      </c>
    </row>
    <row r="419" ht="15.75" customHeight="1">
      <c r="Z419" s="11" t="str">
        <f>IFERROR(IF(Transactions!B421="Expense",Transactions!E421+ROW()/10000000,""),"")</f>
        <v/>
      </c>
      <c r="AA419" s="31" t="str">
        <f>IFERROR(IF(Transactions!B421="Expense",Transactions!A421,""),"")</f>
        <v/>
      </c>
      <c r="AB419" s="11" t="str">
        <f>IFERROR(IF(Transactions!B421="Expense",Transactions!C421,""),"")</f>
        <v/>
      </c>
      <c r="AC419" s="11" t="str">
        <f>IFERROR(IF(Transactions!B421="Expense",Transactions!D421,""),"")</f>
        <v/>
      </c>
      <c r="AD419" s="11" t="str">
        <f>IFERROR(IF(Transactions!B421="Expense",Transactions!E421,""),"")</f>
        <v/>
      </c>
    </row>
    <row r="420" ht="15.75" customHeight="1">
      <c r="Z420" s="11" t="str">
        <f>IFERROR(IF(Transactions!B422="Expense",Transactions!E422+ROW()/10000000,""),"")</f>
        <v/>
      </c>
      <c r="AA420" s="31" t="str">
        <f>IFERROR(IF(Transactions!B422="Expense",Transactions!A422,""),"")</f>
        <v/>
      </c>
      <c r="AB420" s="11" t="str">
        <f>IFERROR(IF(Transactions!B422="Expense",Transactions!C422,""),"")</f>
        <v/>
      </c>
      <c r="AC420" s="11" t="str">
        <f>IFERROR(IF(Transactions!B422="Expense",Transactions!D422,""),"")</f>
        <v/>
      </c>
      <c r="AD420" s="11" t="str">
        <f>IFERROR(IF(Transactions!B422="Expense",Transactions!E422,""),"")</f>
        <v/>
      </c>
    </row>
    <row r="421" ht="15.75" customHeight="1">
      <c r="Z421" s="11" t="str">
        <f>IFERROR(IF(Transactions!B423="Expense",Transactions!E423+ROW()/10000000,""),"")</f>
        <v/>
      </c>
      <c r="AA421" s="31" t="str">
        <f>IFERROR(IF(Transactions!B423="Expense",Transactions!A423,""),"")</f>
        <v/>
      </c>
      <c r="AB421" s="11" t="str">
        <f>IFERROR(IF(Transactions!B423="Expense",Transactions!C423,""),"")</f>
        <v/>
      </c>
      <c r="AC421" s="11" t="str">
        <f>IFERROR(IF(Transactions!B423="Expense",Transactions!D423,""),"")</f>
        <v/>
      </c>
      <c r="AD421" s="11" t="str">
        <f>IFERROR(IF(Transactions!B423="Expense",Transactions!E423,""),"")</f>
        <v/>
      </c>
    </row>
    <row r="422" ht="15.75" customHeight="1">
      <c r="Z422" s="11" t="str">
        <f>IFERROR(IF(Transactions!B424="Expense",Transactions!E424+ROW()/10000000,""),"")</f>
        <v/>
      </c>
      <c r="AA422" s="31" t="str">
        <f>IFERROR(IF(Transactions!B424="Expense",Transactions!A424,""),"")</f>
        <v/>
      </c>
      <c r="AB422" s="11" t="str">
        <f>IFERROR(IF(Transactions!B424="Expense",Transactions!C424,""),"")</f>
        <v/>
      </c>
      <c r="AC422" s="11" t="str">
        <f>IFERROR(IF(Transactions!B424="Expense",Transactions!D424,""),"")</f>
        <v/>
      </c>
      <c r="AD422" s="11" t="str">
        <f>IFERROR(IF(Transactions!B424="Expense",Transactions!E424,""),"")</f>
        <v/>
      </c>
    </row>
    <row r="423" ht="15.75" customHeight="1">
      <c r="Z423" s="11" t="str">
        <f>IFERROR(IF(Transactions!B425="Expense",Transactions!E425+ROW()/10000000,""),"")</f>
        <v/>
      </c>
      <c r="AA423" s="31" t="str">
        <f>IFERROR(IF(Transactions!B425="Expense",Transactions!A425,""),"")</f>
        <v/>
      </c>
      <c r="AB423" s="11" t="str">
        <f>IFERROR(IF(Transactions!B425="Expense",Transactions!C425,""),"")</f>
        <v/>
      </c>
      <c r="AC423" s="11" t="str">
        <f>IFERROR(IF(Transactions!B425="Expense",Transactions!D425,""),"")</f>
        <v/>
      </c>
      <c r="AD423" s="11" t="str">
        <f>IFERROR(IF(Transactions!B425="Expense",Transactions!E425,""),"")</f>
        <v/>
      </c>
    </row>
    <row r="424" ht="15.75" customHeight="1">
      <c r="Z424" s="11" t="str">
        <f>IFERROR(IF(Transactions!B426="Expense",Transactions!E426+ROW()/10000000,""),"")</f>
        <v/>
      </c>
      <c r="AA424" s="31" t="str">
        <f>IFERROR(IF(Transactions!B426="Expense",Transactions!A426,""),"")</f>
        <v/>
      </c>
      <c r="AB424" s="11" t="str">
        <f>IFERROR(IF(Transactions!B426="Expense",Transactions!C426,""),"")</f>
        <v/>
      </c>
      <c r="AC424" s="11" t="str">
        <f>IFERROR(IF(Transactions!B426="Expense",Transactions!D426,""),"")</f>
        <v/>
      </c>
      <c r="AD424" s="11" t="str">
        <f>IFERROR(IF(Transactions!B426="Expense",Transactions!E426,""),"")</f>
        <v/>
      </c>
    </row>
    <row r="425" ht="15.75" customHeight="1">
      <c r="Z425" s="11" t="str">
        <f>IFERROR(IF(Transactions!B427="Expense",Transactions!E427+ROW()/10000000,""),"")</f>
        <v/>
      </c>
      <c r="AA425" s="31" t="str">
        <f>IFERROR(IF(Transactions!B427="Expense",Transactions!A427,""),"")</f>
        <v/>
      </c>
      <c r="AB425" s="11" t="str">
        <f>IFERROR(IF(Transactions!B427="Expense",Transactions!C427,""),"")</f>
        <v/>
      </c>
      <c r="AC425" s="11" t="str">
        <f>IFERROR(IF(Transactions!B427="Expense",Transactions!D427,""),"")</f>
        <v/>
      </c>
      <c r="AD425" s="11" t="str">
        <f>IFERROR(IF(Transactions!B427="Expense",Transactions!E427,""),"")</f>
        <v/>
      </c>
    </row>
    <row r="426" ht="15.75" customHeight="1">
      <c r="Z426" s="11" t="str">
        <f>IFERROR(IF(Transactions!B428="Expense",Transactions!E428+ROW()/10000000,""),"")</f>
        <v/>
      </c>
      <c r="AA426" s="31" t="str">
        <f>IFERROR(IF(Transactions!B428="Expense",Transactions!A428,""),"")</f>
        <v/>
      </c>
      <c r="AB426" s="11" t="str">
        <f>IFERROR(IF(Transactions!B428="Expense",Transactions!C428,""),"")</f>
        <v/>
      </c>
      <c r="AC426" s="11" t="str">
        <f>IFERROR(IF(Transactions!B428="Expense",Transactions!D428,""),"")</f>
        <v/>
      </c>
      <c r="AD426" s="11" t="str">
        <f>IFERROR(IF(Transactions!B428="Expense",Transactions!E428,""),"")</f>
        <v/>
      </c>
    </row>
    <row r="427" ht="15.75" customHeight="1">
      <c r="Z427" s="11" t="str">
        <f>IFERROR(IF(Transactions!B429="Expense",Transactions!E429+ROW()/10000000,""),"")</f>
        <v/>
      </c>
      <c r="AA427" s="31" t="str">
        <f>IFERROR(IF(Transactions!B429="Expense",Transactions!A429,""),"")</f>
        <v/>
      </c>
      <c r="AB427" s="11" t="str">
        <f>IFERROR(IF(Transactions!B429="Expense",Transactions!C429,""),"")</f>
        <v/>
      </c>
      <c r="AC427" s="11" t="str">
        <f>IFERROR(IF(Transactions!B429="Expense",Transactions!D429,""),"")</f>
        <v/>
      </c>
      <c r="AD427" s="11" t="str">
        <f>IFERROR(IF(Transactions!B429="Expense",Transactions!E429,""),"")</f>
        <v/>
      </c>
    </row>
    <row r="428" ht="15.75" customHeight="1">
      <c r="Z428" s="11" t="str">
        <f>IFERROR(IF(Transactions!B430="Expense",Transactions!E430+ROW()/10000000,""),"")</f>
        <v/>
      </c>
      <c r="AA428" s="31" t="str">
        <f>IFERROR(IF(Transactions!B430="Expense",Transactions!A430,""),"")</f>
        <v/>
      </c>
      <c r="AB428" s="11" t="str">
        <f>IFERROR(IF(Transactions!B430="Expense",Transactions!C430,""),"")</f>
        <v/>
      </c>
      <c r="AC428" s="11" t="str">
        <f>IFERROR(IF(Transactions!B430="Expense",Transactions!D430,""),"")</f>
        <v/>
      </c>
      <c r="AD428" s="11" t="str">
        <f>IFERROR(IF(Transactions!B430="Expense",Transactions!E430,""),"")</f>
        <v/>
      </c>
    </row>
    <row r="429" ht="15.75" customHeight="1">
      <c r="Z429" s="11" t="str">
        <f>IFERROR(IF(Transactions!B431="Expense",Transactions!E431+ROW()/10000000,""),"")</f>
        <v/>
      </c>
      <c r="AA429" s="31" t="str">
        <f>IFERROR(IF(Transactions!B431="Expense",Transactions!A431,""),"")</f>
        <v/>
      </c>
      <c r="AB429" s="11" t="str">
        <f>IFERROR(IF(Transactions!B431="Expense",Transactions!C431,""),"")</f>
        <v/>
      </c>
      <c r="AC429" s="11" t="str">
        <f>IFERROR(IF(Transactions!B431="Expense",Transactions!D431,""),"")</f>
        <v/>
      </c>
      <c r="AD429" s="11" t="str">
        <f>IFERROR(IF(Transactions!B431="Expense",Transactions!E431,""),"")</f>
        <v/>
      </c>
    </row>
    <row r="430" ht="15.75" customHeight="1">
      <c r="Z430" s="11" t="str">
        <f>IFERROR(IF(Transactions!B432="Expense",Transactions!E432+ROW()/10000000,""),"")</f>
        <v/>
      </c>
      <c r="AA430" s="31" t="str">
        <f>IFERROR(IF(Transactions!B432="Expense",Transactions!A432,""),"")</f>
        <v/>
      </c>
      <c r="AB430" s="11" t="str">
        <f>IFERROR(IF(Transactions!B432="Expense",Transactions!C432,""),"")</f>
        <v/>
      </c>
      <c r="AC430" s="11" t="str">
        <f>IFERROR(IF(Transactions!B432="Expense",Transactions!D432,""),"")</f>
        <v/>
      </c>
      <c r="AD430" s="11" t="str">
        <f>IFERROR(IF(Transactions!B432="Expense",Transactions!E432,""),"")</f>
        <v/>
      </c>
    </row>
    <row r="431" ht="15.75" customHeight="1">
      <c r="Z431" s="11" t="str">
        <f>IFERROR(IF(Transactions!B433="Expense",Transactions!E433+ROW()/10000000,""),"")</f>
        <v/>
      </c>
      <c r="AA431" s="31" t="str">
        <f>IFERROR(IF(Transactions!B433="Expense",Transactions!A433,""),"")</f>
        <v/>
      </c>
      <c r="AB431" s="11" t="str">
        <f>IFERROR(IF(Transactions!B433="Expense",Transactions!C433,""),"")</f>
        <v/>
      </c>
      <c r="AC431" s="11" t="str">
        <f>IFERROR(IF(Transactions!B433="Expense",Transactions!D433,""),"")</f>
        <v/>
      </c>
      <c r="AD431" s="11" t="str">
        <f>IFERROR(IF(Transactions!B433="Expense",Transactions!E433,""),"")</f>
        <v/>
      </c>
    </row>
    <row r="432" ht="15.75" customHeight="1">
      <c r="Z432" s="11" t="str">
        <f>IFERROR(IF(Transactions!B434="Expense",Transactions!E434+ROW()/10000000,""),"")</f>
        <v/>
      </c>
      <c r="AA432" s="31" t="str">
        <f>IFERROR(IF(Transactions!B434="Expense",Transactions!A434,""),"")</f>
        <v/>
      </c>
      <c r="AB432" s="11" t="str">
        <f>IFERROR(IF(Transactions!B434="Expense",Transactions!C434,""),"")</f>
        <v/>
      </c>
      <c r="AC432" s="11" t="str">
        <f>IFERROR(IF(Transactions!B434="Expense",Transactions!D434,""),"")</f>
        <v/>
      </c>
      <c r="AD432" s="11" t="str">
        <f>IFERROR(IF(Transactions!B434="Expense",Transactions!E434,""),"")</f>
        <v/>
      </c>
    </row>
    <row r="433" ht="15.75" customHeight="1">
      <c r="Z433" s="11" t="str">
        <f>IFERROR(IF(Transactions!B435="Expense",Transactions!E435+ROW()/10000000,""),"")</f>
        <v/>
      </c>
      <c r="AA433" s="31" t="str">
        <f>IFERROR(IF(Transactions!B435="Expense",Transactions!A435,""),"")</f>
        <v/>
      </c>
      <c r="AB433" s="11" t="str">
        <f>IFERROR(IF(Transactions!B435="Expense",Transactions!C435,""),"")</f>
        <v/>
      </c>
      <c r="AC433" s="11" t="str">
        <f>IFERROR(IF(Transactions!B435="Expense",Transactions!D435,""),"")</f>
        <v/>
      </c>
      <c r="AD433" s="11" t="str">
        <f>IFERROR(IF(Transactions!B435="Expense",Transactions!E435,""),"")</f>
        <v/>
      </c>
    </row>
    <row r="434" ht="15.75" customHeight="1">
      <c r="Z434" s="11" t="str">
        <f>IFERROR(IF(Transactions!B436="Expense",Transactions!E436+ROW()/10000000,""),"")</f>
        <v/>
      </c>
      <c r="AA434" s="31" t="str">
        <f>IFERROR(IF(Transactions!B436="Expense",Transactions!A436,""),"")</f>
        <v/>
      </c>
      <c r="AB434" s="11" t="str">
        <f>IFERROR(IF(Transactions!B436="Expense",Transactions!C436,""),"")</f>
        <v/>
      </c>
      <c r="AC434" s="11" t="str">
        <f>IFERROR(IF(Transactions!B436="Expense",Transactions!D436,""),"")</f>
        <v/>
      </c>
      <c r="AD434" s="11" t="str">
        <f>IFERROR(IF(Transactions!B436="Expense",Transactions!E436,""),"")</f>
        <v/>
      </c>
    </row>
    <row r="435" ht="15.75" customHeight="1">
      <c r="Z435" s="11" t="str">
        <f>IFERROR(IF(Transactions!B437="Expense",Transactions!E437+ROW()/10000000,""),"")</f>
        <v/>
      </c>
      <c r="AA435" s="31" t="str">
        <f>IFERROR(IF(Transactions!B437="Expense",Transactions!A437,""),"")</f>
        <v/>
      </c>
      <c r="AB435" s="11" t="str">
        <f>IFERROR(IF(Transactions!B437="Expense",Transactions!C437,""),"")</f>
        <v/>
      </c>
      <c r="AC435" s="11" t="str">
        <f>IFERROR(IF(Transactions!B437="Expense",Transactions!D437,""),"")</f>
        <v/>
      </c>
      <c r="AD435" s="11" t="str">
        <f>IFERROR(IF(Transactions!B437="Expense",Transactions!E437,""),"")</f>
        <v/>
      </c>
    </row>
    <row r="436" ht="15.75" customHeight="1">
      <c r="Z436" s="11" t="str">
        <f>IFERROR(IF(Transactions!B438="Expense",Transactions!E438+ROW()/10000000,""),"")</f>
        <v/>
      </c>
      <c r="AA436" s="31" t="str">
        <f>IFERROR(IF(Transactions!B438="Expense",Transactions!A438,""),"")</f>
        <v/>
      </c>
      <c r="AB436" s="11" t="str">
        <f>IFERROR(IF(Transactions!B438="Expense",Transactions!C438,""),"")</f>
        <v/>
      </c>
      <c r="AC436" s="11" t="str">
        <f>IFERROR(IF(Transactions!B438="Expense",Transactions!D438,""),"")</f>
        <v/>
      </c>
      <c r="AD436" s="11" t="str">
        <f>IFERROR(IF(Transactions!B438="Expense",Transactions!E438,""),"")</f>
        <v/>
      </c>
    </row>
    <row r="437" ht="15.75" customHeight="1">
      <c r="Z437" s="11" t="str">
        <f>IFERROR(IF(Transactions!B439="Expense",Transactions!E439+ROW()/10000000,""),"")</f>
        <v/>
      </c>
      <c r="AA437" s="31" t="str">
        <f>IFERROR(IF(Transactions!B439="Expense",Transactions!A439,""),"")</f>
        <v/>
      </c>
      <c r="AB437" s="11" t="str">
        <f>IFERROR(IF(Transactions!B439="Expense",Transactions!C439,""),"")</f>
        <v/>
      </c>
      <c r="AC437" s="11" t="str">
        <f>IFERROR(IF(Transactions!B439="Expense",Transactions!D439,""),"")</f>
        <v/>
      </c>
      <c r="AD437" s="11" t="str">
        <f>IFERROR(IF(Transactions!B439="Expense",Transactions!E439,""),"")</f>
        <v/>
      </c>
    </row>
    <row r="438" ht="15.75" customHeight="1">
      <c r="Z438" s="11" t="str">
        <f>IFERROR(IF(Transactions!B440="Expense",Transactions!E440+ROW()/10000000,""),"")</f>
        <v/>
      </c>
      <c r="AA438" s="31" t="str">
        <f>IFERROR(IF(Transactions!B440="Expense",Transactions!A440,""),"")</f>
        <v/>
      </c>
      <c r="AB438" s="11" t="str">
        <f>IFERROR(IF(Transactions!B440="Expense",Transactions!C440,""),"")</f>
        <v/>
      </c>
      <c r="AC438" s="11" t="str">
        <f>IFERROR(IF(Transactions!B440="Expense",Transactions!D440,""),"")</f>
        <v/>
      </c>
      <c r="AD438" s="11" t="str">
        <f>IFERROR(IF(Transactions!B440="Expense",Transactions!E440,""),"")</f>
        <v/>
      </c>
    </row>
    <row r="439" ht="15.75" customHeight="1">
      <c r="Z439" s="11" t="str">
        <f>IFERROR(IF(Transactions!B441="Expense",Transactions!E441+ROW()/10000000,""),"")</f>
        <v/>
      </c>
      <c r="AA439" s="31" t="str">
        <f>IFERROR(IF(Transactions!B441="Expense",Transactions!A441,""),"")</f>
        <v/>
      </c>
      <c r="AB439" s="11" t="str">
        <f>IFERROR(IF(Transactions!B441="Expense",Transactions!C441,""),"")</f>
        <v/>
      </c>
      <c r="AC439" s="11" t="str">
        <f>IFERROR(IF(Transactions!B441="Expense",Transactions!D441,""),"")</f>
        <v/>
      </c>
      <c r="AD439" s="11" t="str">
        <f>IFERROR(IF(Transactions!B441="Expense",Transactions!E441,""),"")</f>
        <v/>
      </c>
    </row>
    <row r="440" ht="15.75" customHeight="1">
      <c r="Z440" s="11" t="str">
        <f>IFERROR(IF(Transactions!B442="Expense",Transactions!E442+ROW()/10000000,""),"")</f>
        <v/>
      </c>
      <c r="AA440" s="31" t="str">
        <f>IFERROR(IF(Transactions!B442="Expense",Transactions!A442,""),"")</f>
        <v/>
      </c>
      <c r="AB440" s="11" t="str">
        <f>IFERROR(IF(Transactions!B442="Expense",Transactions!C442,""),"")</f>
        <v/>
      </c>
      <c r="AC440" s="11" t="str">
        <f>IFERROR(IF(Transactions!B442="Expense",Transactions!D442,""),"")</f>
        <v/>
      </c>
      <c r="AD440" s="11" t="str">
        <f>IFERROR(IF(Transactions!B442="Expense",Transactions!E442,""),"")</f>
        <v/>
      </c>
    </row>
    <row r="441" ht="15.75" customHeight="1">
      <c r="Z441" s="11" t="str">
        <f>IFERROR(IF(Transactions!B443="Expense",Transactions!E443+ROW()/10000000,""),"")</f>
        <v/>
      </c>
      <c r="AA441" s="31" t="str">
        <f>IFERROR(IF(Transactions!B443="Expense",Transactions!A443,""),"")</f>
        <v/>
      </c>
      <c r="AB441" s="11" t="str">
        <f>IFERROR(IF(Transactions!B443="Expense",Transactions!C443,""),"")</f>
        <v/>
      </c>
      <c r="AC441" s="11" t="str">
        <f>IFERROR(IF(Transactions!B443="Expense",Transactions!D443,""),"")</f>
        <v/>
      </c>
      <c r="AD441" s="11" t="str">
        <f>IFERROR(IF(Transactions!B443="Expense",Transactions!E443,""),"")</f>
        <v/>
      </c>
    </row>
    <row r="442" ht="15.75" customHeight="1">
      <c r="Z442" s="11" t="str">
        <f>IFERROR(IF(Transactions!B444="Expense",Transactions!E444+ROW()/10000000,""),"")</f>
        <v/>
      </c>
      <c r="AA442" s="31" t="str">
        <f>IFERROR(IF(Transactions!B444="Expense",Transactions!A444,""),"")</f>
        <v/>
      </c>
      <c r="AB442" s="11" t="str">
        <f>IFERROR(IF(Transactions!B444="Expense",Transactions!C444,""),"")</f>
        <v/>
      </c>
      <c r="AC442" s="11" t="str">
        <f>IFERROR(IF(Transactions!B444="Expense",Transactions!D444,""),"")</f>
        <v/>
      </c>
      <c r="AD442" s="11" t="str">
        <f>IFERROR(IF(Transactions!B444="Expense",Transactions!E444,""),"")</f>
        <v/>
      </c>
    </row>
    <row r="443" ht="15.75" customHeight="1">
      <c r="Z443" s="11" t="str">
        <f>IFERROR(IF(Transactions!B445="Expense",Transactions!E445+ROW()/10000000,""),"")</f>
        <v/>
      </c>
      <c r="AA443" s="31" t="str">
        <f>IFERROR(IF(Transactions!B445="Expense",Transactions!A445,""),"")</f>
        <v/>
      </c>
      <c r="AB443" s="11" t="str">
        <f>IFERROR(IF(Transactions!B445="Expense",Transactions!C445,""),"")</f>
        <v/>
      </c>
      <c r="AC443" s="11" t="str">
        <f>IFERROR(IF(Transactions!B445="Expense",Transactions!D445,""),"")</f>
        <v/>
      </c>
      <c r="AD443" s="11" t="str">
        <f>IFERROR(IF(Transactions!B445="Expense",Transactions!E445,""),"")</f>
        <v/>
      </c>
    </row>
    <row r="444" ht="15.75" customHeight="1">
      <c r="Z444" s="11" t="str">
        <f>IFERROR(IF(Transactions!B446="Expense",Transactions!E446+ROW()/10000000,""),"")</f>
        <v/>
      </c>
      <c r="AA444" s="31" t="str">
        <f>IFERROR(IF(Transactions!B446="Expense",Transactions!A446,""),"")</f>
        <v/>
      </c>
      <c r="AB444" s="11" t="str">
        <f>IFERROR(IF(Transactions!B446="Expense",Transactions!C446,""),"")</f>
        <v/>
      </c>
      <c r="AC444" s="11" t="str">
        <f>IFERROR(IF(Transactions!B446="Expense",Transactions!D446,""),"")</f>
        <v/>
      </c>
      <c r="AD444" s="11" t="str">
        <f>IFERROR(IF(Transactions!B446="Expense",Transactions!E446,""),"")</f>
        <v/>
      </c>
    </row>
    <row r="445" ht="15.75" customHeight="1">
      <c r="Z445" s="11" t="str">
        <f>IFERROR(IF(Transactions!B447="Expense",Transactions!E447+ROW()/10000000,""),"")</f>
        <v/>
      </c>
      <c r="AA445" s="31" t="str">
        <f>IFERROR(IF(Transactions!B447="Expense",Transactions!A447,""),"")</f>
        <v/>
      </c>
      <c r="AB445" s="11" t="str">
        <f>IFERROR(IF(Transactions!B447="Expense",Transactions!C447,""),"")</f>
        <v/>
      </c>
      <c r="AC445" s="11" t="str">
        <f>IFERROR(IF(Transactions!B447="Expense",Transactions!D447,""),"")</f>
        <v/>
      </c>
      <c r="AD445" s="11" t="str">
        <f>IFERROR(IF(Transactions!B447="Expense",Transactions!E447,""),"")</f>
        <v/>
      </c>
    </row>
    <row r="446" ht="15.75" customHeight="1">
      <c r="Z446" s="11" t="str">
        <f>IFERROR(IF(Transactions!B448="Expense",Transactions!E448+ROW()/10000000,""),"")</f>
        <v/>
      </c>
      <c r="AA446" s="31" t="str">
        <f>IFERROR(IF(Transactions!B448="Expense",Transactions!A448,""),"")</f>
        <v/>
      </c>
      <c r="AB446" s="11" t="str">
        <f>IFERROR(IF(Transactions!B448="Expense",Transactions!C448,""),"")</f>
        <v/>
      </c>
      <c r="AC446" s="11" t="str">
        <f>IFERROR(IF(Transactions!B448="Expense",Transactions!D448,""),"")</f>
        <v/>
      </c>
      <c r="AD446" s="11" t="str">
        <f>IFERROR(IF(Transactions!B448="Expense",Transactions!E448,""),"")</f>
        <v/>
      </c>
    </row>
    <row r="447" ht="15.75" customHeight="1">
      <c r="Z447" s="11" t="str">
        <f>IFERROR(IF(Transactions!B449="Expense",Transactions!E449+ROW()/10000000,""),"")</f>
        <v/>
      </c>
      <c r="AA447" s="31" t="str">
        <f>IFERROR(IF(Transactions!B449="Expense",Transactions!A449,""),"")</f>
        <v/>
      </c>
      <c r="AB447" s="11" t="str">
        <f>IFERROR(IF(Transactions!B449="Expense",Transactions!C449,""),"")</f>
        <v/>
      </c>
      <c r="AC447" s="11" t="str">
        <f>IFERROR(IF(Transactions!B449="Expense",Transactions!D449,""),"")</f>
        <v/>
      </c>
      <c r="AD447" s="11" t="str">
        <f>IFERROR(IF(Transactions!B449="Expense",Transactions!E449,""),"")</f>
        <v/>
      </c>
    </row>
    <row r="448" ht="15.75" customHeight="1">
      <c r="Z448" s="11" t="str">
        <f>IFERROR(IF(Transactions!B450="Expense",Transactions!E450+ROW()/10000000,""),"")</f>
        <v/>
      </c>
      <c r="AA448" s="31" t="str">
        <f>IFERROR(IF(Transactions!B450="Expense",Transactions!A450,""),"")</f>
        <v/>
      </c>
      <c r="AB448" s="11" t="str">
        <f>IFERROR(IF(Transactions!B450="Expense",Transactions!C450,""),"")</f>
        <v/>
      </c>
      <c r="AC448" s="11" t="str">
        <f>IFERROR(IF(Transactions!B450="Expense",Transactions!D450,""),"")</f>
        <v/>
      </c>
      <c r="AD448" s="11" t="str">
        <f>IFERROR(IF(Transactions!B450="Expense",Transactions!E450,""),"")</f>
        <v/>
      </c>
    </row>
    <row r="449" ht="15.75" customHeight="1">
      <c r="Z449" s="11" t="str">
        <f>IFERROR(IF(Transactions!B451="Expense",Transactions!E451+ROW()/10000000,""),"")</f>
        <v/>
      </c>
      <c r="AA449" s="31" t="str">
        <f>IFERROR(IF(Transactions!B451="Expense",Transactions!A451,""),"")</f>
        <v/>
      </c>
      <c r="AB449" s="11" t="str">
        <f>IFERROR(IF(Transactions!B451="Expense",Transactions!C451,""),"")</f>
        <v/>
      </c>
      <c r="AC449" s="11" t="str">
        <f>IFERROR(IF(Transactions!B451="Expense",Transactions!D451,""),"")</f>
        <v/>
      </c>
      <c r="AD449" s="11" t="str">
        <f>IFERROR(IF(Transactions!B451="Expense",Transactions!E451,""),"")</f>
        <v/>
      </c>
    </row>
    <row r="450" ht="15.75" customHeight="1">
      <c r="Z450" s="11" t="str">
        <f>IFERROR(IF(Transactions!B452="Expense",Transactions!E452+ROW()/10000000,""),"")</f>
        <v/>
      </c>
      <c r="AA450" s="31" t="str">
        <f>IFERROR(IF(Transactions!B452="Expense",Transactions!A452,""),"")</f>
        <v/>
      </c>
      <c r="AB450" s="11" t="str">
        <f>IFERROR(IF(Transactions!B452="Expense",Transactions!C452,""),"")</f>
        <v/>
      </c>
      <c r="AC450" s="11" t="str">
        <f>IFERROR(IF(Transactions!B452="Expense",Transactions!D452,""),"")</f>
        <v/>
      </c>
      <c r="AD450" s="11" t="str">
        <f>IFERROR(IF(Transactions!B452="Expense",Transactions!E452,""),"")</f>
        <v/>
      </c>
    </row>
    <row r="451" ht="15.75" customHeight="1">
      <c r="Z451" s="11" t="str">
        <f>IFERROR(IF(Transactions!B453="Expense",Transactions!E453+ROW()/10000000,""),"")</f>
        <v/>
      </c>
      <c r="AA451" s="31" t="str">
        <f>IFERROR(IF(Transactions!B453="Expense",Transactions!A453,""),"")</f>
        <v/>
      </c>
      <c r="AB451" s="11" t="str">
        <f>IFERROR(IF(Transactions!B453="Expense",Transactions!C453,""),"")</f>
        <v/>
      </c>
      <c r="AC451" s="11" t="str">
        <f>IFERROR(IF(Transactions!B453="Expense",Transactions!D453,""),"")</f>
        <v/>
      </c>
      <c r="AD451" s="11" t="str">
        <f>IFERROR(IF(Transactions!B453="Expense",Transactions!E453,""),"")</f>
        <v/>
      </c>
    </row>
    <row r="452" ht="15.75" customHeight="1">
      <c r="Z452" s="11" t="str">
        <f>IFERROR(IF(Transactions!B454="Expense",Transactions!E454+ROW()/10000000,""),"")</f>
        <v/>
      </c>
      <c r="AA452" s="31" t="str">
        <f>IFERROR(IF(Transactions!B454="Expense",Transactions!A454,""),"")</f>
        <v/>
      </c>
      <c r="AB452" s="11" t="str">
        <f>IFERROR(IF(Transactions!B454="Expense",Transactions!C454,""),"")</f>
        <v/>
      </c>
      <c r="AC452" s="11" t="str">
        <f>IFERROR(IF(Transactions!B454="Expense",Transactions!D454,""),"")</f>
        <v/>
      </c>
      <c r="AD452" s="11" t="str">
        <f>IFERROR(IF(Transactions!B454="Expense",Transactions!E454,""),"")</f>
        <v/>
      </c>
    </row>
    <row r="453" ht="15.75" customHeight="1">
      <c r="Z453" s="11" t="str">
        <f>IFERROR(IF(Transactions!B455="Expense",Transactions!E455+ROW()/10000000,""),"")</f>
        <v/>
      </c>
      <c r="AA453" s="31" t="str">
        <f>IFERROR(IF(Transactions!B455="Expense",Transactions!A455,""),"")</f>
        <v/>
      </c>
      <c r="AB453" s="11" t="str">
        <f>IFERROR(IF(Transactions!B455="Expense",Transactions!C455,""),"")</f>
        <v/>
      </c>
      <c r="AC453" s="11" t="str">
        <f>IFERROR(IF(Transactions!B455="Expense",Transactions!D455,""),"")</f>
        <v/>
      </c>
      <c r="AD453" s="11" t="str">
        <f>IFERROR(IF(Transactions!B455="Expense",Transactions!E455,""),"")</f>
        <v/>
      </c>
    </row>
    <row r="454" ht="15.75" customHeight="1">
      <c r="Z454" s="11" t="str">
        <f>IFERROR(IF(Transactions!B456="Expense",Transactions!E456+ROW()/10000000,""),"")</f>
        <v/>
      </c>
      <c r="AA454" s="31" t="str">
        <f>IFERROR(IF(Transactions!B456="Expense",Transactions!A456,""),"")</f>
        <v/>
      </c>
      <c r="AB454" s="11" t="str">
        <f>IFERROR(IF(Transactions!B456="Expense",Transactions!C456,""),"")</f>
        <v/>
      </c>
      <c r="AC454" s="11" t="str">
        <f>IFERROR(IF(Transactions!B456="Expense",Transactions!D456,""),"")</f>
        <v/>
      </c>
      <c r="AD454" s="11" t="str">
        <f>IFERROR(IF(Transactions!B456="Expense",Transactions!E456,""),"")</f>
        <v/>
      </c>
    </row>
    <row r="455" ht="15.75" customHeight="1">
      <c r="Z455" s="11" t="str">
        <f>IFERROR(IF(Transactions!B457="Expense",Transactions!E457+ROW()/10000000,""),"")</f>
        <v/>
      </c>
      <c r="AA455" s="31" t="str">
        <f>IFERROR(IF(Transactions!B457="Expense",Transactions!A457,""),"")</f>
        <v/>
      </c>
      <c r="AB455" s="11" t="str">
        <f>IFERROR(IF(Transactions!B457="Expense",Transactions!C457,""),"")</f>
        <v/>
      </c>
      <c r="AC455" s="11" t="str">
        <f>IFERROR(IF(Transactions!B457="Expense",Transactions!D457,""),"")</f>
        <v/>
      </c>
      <c r="AD455" s="11" t="str">
        <f>IFERROR(IF(Transactions!B457="Expense",Transactions!E457,""),"")</f>
        <v/>
      </c>
    </row>
    <row r="456" ht="15.75" customHeight="1">
      <c r="Z456" s="11" t="str">
        <f>IFERROR(IF(Transactions!B458="Expense",Transactions!E458+ROW()/10000000,""),"")</f>
        <v/>
      </c>
      <c r="AA456" s="31" t="str">
        <f>IFERROR(IF(Transactions!B458="Expense",Transactions!A458,""),"")</f>
        <v/>
      </c>
      <c r="AB456" s="11" t="str">
        <f>IFERROR(IF(Transactions!B458="Expense",Transactions!C458,""),"")</f>
        <v/>
      </c>
      <c r="AC456" s="11" t="str">
        <f>IFERROR(IF(Transactions!B458="Expense",Transactions!D458,""),"")</f>
        <v/>
      </c>
      <c r="AD456" s="11" t="str">
        <f>IFERROR(IF(Transactions!B458="Expense",Transactions!E458,""),"")</f>
        <v/>
      </c>
    </row>
    <row r="457" ht="15.75" customHeight="1">
      <c r="Z457" s="11" t="str">
        <f>IFERROR(IF(Transactions!B459="Expense",Transactions!E459+ROW()/10000000,""),"")</f>
        <v/>
      </c>
      <c r="AA457" s="31" t="str">
        <f>IFERROR(IF(Transactions!B459="Expense",Transactions!A459,""),"")</f>
        <v/>
      </c>
      <c r="AB457" s="11" t="str">
        <f>IFERROR(IF(Transactions!B459="Expense",Transactions!C459,""),"")</f>
        <v/>
      </c>
      <c r="AC457" s="11" t="str">
        <f>IFERROR(IF(Transactions!B459="Expense",Transactions!D459,""),"")</f>
        <v/>
      </c>
      <c r="AD457" s="11" t="str">
        <f>IFERROR(IF(Transactions!B459="Expense",Transactions!E459,""),"")</f>
        <v/>
      </c>
    </row>
    <row r="458" ht="15.75" customHeight="1">
      <c r="Z458" s="11" t="str">
        <f>IFERROR(IF(Transactions!B460="Expense",Transactions!E460+ROW()/10000000,""),"")</f>
        <v/>
      </c>
      <c r="AA458" s="31" t="str">
        <f>IFERROR(IF(Transactions!B460="Expense",Transactions!A460,""),"")</f>
        <v/>
      </c>
      <c r="AB458" s="11" t="str">
        <f>IFERROR(IF(Transactions!B460="Expense",Transactions!C460,""),"")</f>
        <v/>
      </c>
      <c r="AC458" s="11" t="str">
        <f>IFERROR(IF(Transactions!B460="Expense",Transactions!D460,""),"")</f>
        <v/>
      </c>
      <c r="AD458" s="11" t="str">
        <f>IFERROR(IF(Transactions!B460="Expense",Transactions!E460,""),"")</f>
        <v/>
      </c>
    </row>
    <row r="459" ht="15.75" customHeight="1">
      <c r="Z459" s="11" t="str">
        <f>IFERROR(IF(Transactions!B461="Expense",Transactions!E461+ROW()/10000000,""),"")</f>
        <v/>
      </c>
      <c r="AA459" s="31" t="str">
        <f>IFERROR(IF(Transactions!B461="Expense",Transactions!A461,""),"")</f>
        <v/>
      </c>
      <c r="AB459" s="11" t="str">
        <f>IFERROR(IF(Transactions!B461="Expense",Transactions!C461,""),"")</f>
        <v/>
      </c>
      <c r="AC459" s="11" t="str">
        <f>IFERROR(IF(Transactions!B461="Expense",Transactions!D461,""),"")</f>
        <v/>
      </c>
      <c r="AD459" s="11" t="str">
        <f>IFERROR(IF(Transactions!B461="Expense",Transactions!E461,""),"")</f>
        <v/>
      </c>
    </row>
    <row r="460" ht="15.75" customHeight="1">
      <c r="Z460" s="11" t="str">
        <f>IFERROR(IF(Transactions!B462="Expense",Transactions!E462+ROW()/10000000,""),"")</f>
        <v/>
      </c>
      <c r="AA460" s="31" t="str">
        <f>IFERROR(IF(Transactions!B462="Expense",Transactions!A462,""),"")</f>
        <v/>
      </c>
      <c r="AB460" s="11" t="str">
        <f>IFERROR(IF(Transactions!B462="Expense",Transactions!C462,""),"")</f>
        <v/>
      </c>
      <c r="AC460" s="11" t="str">
        <f>IFERROR(IF(Transactions!B462="Expense",Transactions!D462,""),"")</f>
        <v/>
      </c>
      <c r="AD460" s="11" t="str">
        <f>IFERROR(IF(Transactions!B462="Expense",Transactions!E462,""),"")</f>
        <v/>
      </c>
    </row>
    <row r="461" ht="15.75" customHeight="1">
      <c r="Z461" s="11" t="str">
        <f>IFERROR(IF(Transactions!B463="Expense",Transactions!E463+ROW()/10000000,""),"")</f>
        <v/>
      </c>
      <c r="AA461" s="31" t="str">
        <f>IFERROR(IF(Transactions!B463="Expense",Transactions!A463,""),"")</f>
        <v/>
      </c>
      <c r="AB461" s="11" t="str">
        <f>IFERROR(IF(Transactions!B463="Expense",Transactions!C463,""),"")</f>
        <v/>
      </c>
      <c r="AC461" s="11" t="str">
        <f>IFERROR(IF(Transactions!B463="Expense",Transactions!D463,""),"")</f>
        <v/>
      </c>
      <c r="AD461" s="11" t="str">
        <f>IFERROR(IF(Transactions!B463="Expense",Transactions!E463,""),"")</f>
        <v/>
      </c>
    </row>
    <row r="462" ht="15.75" customHeight="1">
      <c r="Z462" s="11" t="str">
        <f>IFERROR(IF(Transactions!B464="Expense",Transactions!E464+ROW()/10000000,""),"")</f>
        <v/>
      </c>
      <c r="AA462" s="31" t="str">
        <f>IFERROR(IF(Transactions!B464="Expense",Transactions!A464,""),"")</f>
        <v/>
      </c>
      <c r="AB462" s="11" t="str">
        <f>IFERROR(IF(Transactions!B464="Expense",Transactions!C464,""),"")</f>
        <v/>
      </c>
      <c r="AC462" s="11" t="str">
        <f>IFERROR(IF(Transactions!B464="Expense",Transactions!D464,""),"")</f>
        <v/>
      </c>
      <c r="AD462" s="11" t="str">
        <f>IFERROR(IF(Transactions!B464="Expense",Transactions!E464,""),"")</f>
        <v/>
      </c>
    </row>
    <row r="463" ht="15.75" customHeight="1">
      <c r="Z463" s="11" t="str">
        <f>IFERROR(IF(Transactions!B465="Expense",Transactions!E465+ROW()/10000000,""),"")</f>
        <v/>
      </c>
      <c r="AA463" s="31" t="str">
        <f>IFERROR(IF(Transactions!B465="Expense",Transactions!A465,""),"")</f>
        <v/>
      </c>
      <c r="AB463" s="11" t="str">
        <f>IFERROR(IF(Transactions!B465="Expense",Transactions!C465,""),"")</f>
        <v/>
      </c>
      <c r="AC463" s="11" t="str">
        <f>IFERROR(IF(Transactions!B465="Expense",Transactions!D465,""),"")</f>
        <v/>
      </c>
      <c r="AD463" s="11" t="str">
        <f>IFERROR(IF(Transactions!B465="Expense",Transactions!E465,""),"")</f>
        <v/>
      </c>
    </row>
    <row r="464" ht="15.75" customHeight="1">
      <c r="Z464" s="11" t="str">
        <f>IFERROR(IF(Transactions!B466="Expense",Transactions!E466+ROW()/10000000,""),"")</f>
        <v/>
      </c>
      <c r="AA464" s="31" t="str">
        <f>IFERROR(IF(Transactions!B466="Expense",Transactions!A466,""),"")</f>
        <v/>
      </c>
      <c r="AB464" s="11" t="str">
        <f>IFERROR(IF(Transactions!B466="Expense",Transactions!C466,""),"")</f>
        <v/>
      </c>
      <c r="AC464" s="11" t="str">
        <f>IFERROR(IF(Transactions!B466="Expense",Transactions!D466,""),"")</f>
        <v/>
      </c>
      <c r="AD464" s="11" t="str">
        <f>IFERROR(IF(Transactions!B466="Expense",Transactions!E466,""),"")</f>
        <v/>
      </c>
    </row>
    <row r="465" ht="15.75" customHeight="1">
      <c r="Z465" s="11" t="str">
        <f>IFERROR(IF(Transactions!B467="Expense",Transactions!E467+ROW()/10000000,""),"")</f>
        <v/>
      </c>
      <c r="AA465" s="31" t="str">
        <f>IFERROR(IF(Transactions!B467="Expense",Transactions!A467,""),"")</f>
        <v/>
      </c>
      <c r="AB465" s="11" t="str">
        <f>IFERROR(IF(Transactions!B467="Expense",Transactions!C467,""),"")</f>
        <v/>
      </c>
      <c r="AC465" s="11" t="str">
        <f>IFERROR(IF(Transactions!B467="Expense",Transactions!D467,""),"")</f>
        <v/>
      </c>
      <c r="AD465" s="11" t="str">
        <f>IFERROR(IF(Transactions!B467="Expense",Transactions!E467,""),"")</f>
        <v/>
      </c>
    </row>
    <row r="466" ht="15.75" customHeight="1">
      <c r="Z466" s="11" t="str">
        <f>IFERROR(IF(Transactions!B468="Expense",Transactions!E468+ROW()/10000000,""),"")</f>
        <v/>
      </c>
      <c r="AA466" s="31" t="str">
        <f>IFERROR(IF(Transactions!B468="Expense",Transactions!A468,""),"")</f>
        <v/>
      </c>
      <c r="AB466" s="11" t="str">
        <f>IFERROR(IF(Transactions!B468="Expense",Transactions!C468,""),"")</f>
        <v/>
      </c>
      <c r="AC466" s="11" t="str">
        <f>IFERROR(IF(Transactions!B468="Expense",Transactions!D468,""),"")</f>
        <v/>
      </c>
      <c r="AD466" s="11" t="str">
        <f>IFERROR(IF(Transactions!B468="Expense",Transactions!E468,""),"")</f>
        <v/>
      </c>
    </row>
    <row r="467" ht="15.75" customHeight="1">
      <c r="Z467" s="11" t="str">
        <f>IFERROR(IF(Transactions!B469="Expense",Transactions!E469+ROW()/10000000,""),"")</f>
        <v/>
      </c>
      <c r="AA467" s="31" t="str">
        <f>IFERROR(IF(Transactions!B469="Expense",Transactions!A469,""),"")</f>
        <v/>
      </c>
      <c r="AB467" s="11" t="str">
        <f>IFERROR(IF(Transactions!B469="Expense",Transactions!C469,""),"")</f>
        <v/>
      </c>
      <c r="AC467" s="11" t="str">
        <f>IFERROR(IF(Transactions!B469="Expense",Transactions!D469,""),"")</f>
        <v/>
      </c>
      <c r="AD467" s="11" t="str">
        <f>IFERROR(IF(Transactions!B469="Expense",Transactions!E469,""),"")</f>
        <v/>
      </c>
    </row>
    <row r="468" ht="15.75" customHeight="1">
      <c r="Z468" s="11" t="str">
        <f>IFERROR(IF(Transactions!B470="Expense",Transactions!E470+ROW()/10000000,""),"")</f>
        <v/>
      </c>
      <c r="AA468" s="31" t="str">
        <f>IFERROR(IF(Transactions!B470="Expense",Transactions!A470,""),"")</f>
        <v/>
      </c>
      <c r="AB468" s="11" t="str">
        <f>IFERROR(IF(Transactions!B470="Expense",Transactions!C470,""),"")</f>
        <v/>
      </c>
      <c r="AC468" s="11" t="str">
        <f>IFERROR(IF(Transactions!B470="Expense",Transactions!D470,""),"")</f>
        <v/>
      </c>
      <c r="AD468" s="11" t="str">
        <f>IFERROR(IF(Transactions!B470="Expense",Transactions!E470,""),"")</f>
        <v/>
      </c>
    </row>
    <row r="469" ht="15.75" customHeight="1">
      <c r="Z469" s="11" t="str">
        <f>IFERROR(IF(Transactions!B471="Expense",Transactions!E471+ROW()/10000000,""),"")</f>
        <v/>
      </c>
      <c r="AA469" s="31" t="str">
        <f>IFERROR(IF(Transactions!B471="Expense",Transactions!A471,""),"")</f>
        <v/>
      </c>
      <c r="AB469" s="11" t="str">
        <f>IFERROR(IF(Transactions!B471="Expense",Transactions!C471,""),"")</f>
        <v/>
      </c>
      <c r="AC469" s="11" t="str">
        <f>IFERROR(IF(Transactions!B471="Expense",Transactions!D471,""),"")</f>
        <v/>
      </c>
      <c r="AD469" s="11" t="str">
        <f>IFERROR(IF(Transactions!B471="Expense",Transactions!E471,""),"")</f>
        <v/>
      </c>
    </row>
    <row r="470" ht="15.75" customHeight="1">
      <c r="Z470" s="11" t="str">
        <f>IFERROR(IF(Transactions!B472="Expense",Transactions!E472+ROW()/10000000,""),"")</f>
        <v/>
      </c>
      <c r="AA470" s="31" t="str">
        <f>IFERROR(IF(Transactions!B472="Expense",Transactions!A472,""),"")</f>
        <v/>
      </c>
      <c r="AB470" s="11" t="str">
        <f>IFERROR(IF(Transactions!B472="Expense",Transactions!C472,""),"")</f>
        <v/>
      </c>
      <c r="AC470" s="11" t="str">
        <f>IFERROR(IF(Transactions!B472="Expense",Transactions!D472,""),"")</f>
        <v/>
      </c>
      <c r="AD470" s="11" t="str">
        <f>IFERROR(IF(Transactions!B472="Expense",Transactions!E472,""),"")</f>
        <v/>
      </c>
    </row>
    <row r="471" ht="15.75" customHeight="1">
      <c r="Z471" s="11" t="str">
        <f>IFERROR(IF(Transactions!B473="Expense",Transactions!E473+ROW()/10000000,""),"")</f>
        <v/>
      </c>
      <c r="AA471" s="31" t="str">
        <f>IFERROR(IF(Transactions!B473="Expense",Transactions!A473,""),"")</f>
        <v/>
      </c>
      <c r="AB471" s="11" t="str">
        <f>IFERROR(IF(Transactions!B473="Expense",Transactions!C473,""),"")</f>
        <v/>
      </c>
      <c r="AC471" s="11" t="str">
        <f>IFERROR(IF(Transactions!B473="Expense",Transactions!D473,""),"")</f>
        <v/>
      </c>
      <c r="AD471" s="11" t="str">
        <f>IFERROR(IF(Transactions!B473="Expense",Transactions!E473,""),"")</f>
        <v/>
      </c>
    </row>
    <row r="472" ht="15.75" customHeight="1">
      <c r="Z472" s="11" t="str">
        <f>IFERROR(IF(Transactions!B474="Expense",Transactions!E474+ROW()/10000000,""),"")</f>
        <v/>
      </c>
      <c r="AA472" s="31" t="str">
        <f>IFERROR(IF(Transactions!B474="Expense",Transactions!A474,""),"")</f>
        <v/>
      </c>
      <c r="AB472" s="11" t="str">
        <f>IFERROR(IF(Transactions!B474="Expense",Transactions!C474,""),"")</f>
        <v/>
      </c>
      <c r="AC472" s="11" t="str">
        <f>IFERROR(IF(Transactions!B474="Expense",Transactions!D474,""),"")</f>
        <v/>
      </c>
      <c r="AD472" s="11" t="str">
        <f>IFERROR(IF(Transactions!B474="Expense",Transactions!E474,""),"")</f>
        <v/>
      </c>
    </row>
    <row r="473" ht="15.75" customHeight="1">
      <c r="Z473" s="11" t="str">
        <f>IFERROR(IF(Transactions!B475="Expense",Transactions!E475+ROW()/10000000,""),"")</f>
        <v/>
      </c>
      <c r="AA473" s="31" t="str">
        <f>IFERROR(IF(Transactions!B475="Expense",Transactions!A475,""),"")</f>
        <v/>
      </c>
      <c r="AB473" s="11" t="str">
        <f>IFERROR(IF(Transactions!B475="Expense",Transactions!C475,""),"")</f>
        <v/>
      </c>
      <c r="AC473" s="11" t="str">
        <f>IFERROR(IF(Transactions!B475="Expense",Transactions!D475,""),"")</f>
        <v/>
      </c>
      <c r="AD473" s="11" t="str">
        <f>IFERROR(IF(Transactions!B475="Expense",Transactions!E475,""),"")</f>
        <v/>
      </c>
    </row>
    <row r="474" ht="15.75" customHeight="1">
      <c r="Z474" s="11" t="str">
        <f>IFERROR(IF(Transactions!B476="Expense",Transactions!E476+ROW()/10000000,""),"")</f>
        <v/>
      </c>
      <c r="AA474" s="31" t="str">
        <f>IFERROR(IF(Transactions!B476="Expense",Transactions!A476,""),"")</f>
        <v/>
      </c>
      <c r="AB474" s="11" t="str">
        <f>IFERROR(IF(Transactions!B476="Expense",Transactions!C476,""),"")</f>
        <v/>
      </c>
      <c r="AC474" s="11" t="str">
        <f>IFERROR(IF(Transactions!B476="Expense",Transactions!D476,""),"")</f>
        <v/>
      </c>
      <c r="AD474" s="11" t="str">
        <f>IFERROR(IF(Transactions!B476="Expense",Transactions!E476,""),"")</f>
        <v/>
      </c>
    </row>
    <row r="475" ht="15.75" customHeight="1">
      <c r="Z475" s="11" t="str">
        <f>IFERROR(IF(Transactions!B477="Expense",Transactions!E477+ROW()/10000000,""),"")</f>
        <v/>
      </c>
      <c r="AA475" s="31" t="str">
        <f>IFERROR(IF(Transactions!B477="Expense",Transactions!A477,""),"")</f>
        <v/>
      </c>
      <c r="AB475" s="11" t="str">
        <f>IFERROR(IF(Transactions!B477="Expense",Transactions!C477,""),"")</f>
        <v/>
      </c>
      <c r="AC475" s="11" t="str">
        <f>IFERROR(IF(Transactions!B477="Expense",Transactions!D477,""),"")</f>
        <v/>
      </c>
      <c r="AD475" s="11" t="str">
        <f>IFERROR(IF(Transactions!B477="Expense",Transactions!E477,""),"")</f>
        <v/>
      </c>
    </row>
    <row r="476" ht="15.75" customHeight="1">
      <c r="Z476" s="11" t="str">
        <f>IFERROR(IF(Transactions!B478="Expense",Transactions!E478+ROW()/10000000,""),"")</f>
        <v/>
      </c>
      <c r="AA476" s="31" t="str">
        <f>IFERROR(IF(Transactions!B478="Expense",Transactions!A478,""),"")</f>
        <v/>
      </c>
      <c r="AB476" s="11" t="str">
        <f>IFERROR(IF(Transactions!B478="Expense",Transactions!C478,""),"")</f>
        <v/>
      </c>
      <c r="AC476" s="11" t="str">
        <f>IFERROR(IF(Transactions!B478="Expense",Transactions!D478,""),"")</f>
        <v/>
      </c>
      <c r="AD476" s="11" t="str">
        <f>IFERROR(IF(Transactions!B478="Expense",Transactions!E478,""),"")</f>
        <v/>
      </c>
    </row>
    <row r="477" ht="15.75" customHeight="1">
      <c r="Z477" s="11" t="str">
        <f>IFERROR(IF(Transactions!B479="Expense",Transactions!E479+ROW()/10000000,""),"")</f>
        <v/>
      </c>
      <c r="AA477" s="31" t="str">
        <f>IFERROR(IF(Transactions!B479="Expense",Transactions!A479,""),"")</f>
        <v/>
      </c>
      <c r="AB477" s="11" t="str">
        <f>IFERROR(IF(Transactions!B479="Expense",Transactions!C479,""),"")</f>
        <v/>
      </c>
      <c r="AC477" s="11" t="str">
        <f>IFERROR(IF(Transactions!B479="Expense",Transactions!D479,""),"")</f>
        <v/>
      </c>
      <c r="AD477" s="11" t="str">
        <f>IFERROR(IF(Transactions!B479="Expense",Transactions!E479,""),"")</f>
        <v/>
      </c>
    </row>
    <row r="478" ht="15.75" customHeight="1">
      <c r="Z478" s="11" t="str">
        <f>IFERROR(IF(Transactions!B480="Expense",Transactions!E480+ROW()/10000000,""),"")</f>
        <v/>
      </c>
      <c r="AA478" s="31" t="str">
        <f>IFERROR(IF(Transactions!B480="Expense",Transactions!A480,""),"")</f>
        <v/>
      </c>
      <c r="AB478" s="11" t="str">
        <f>IFERROR(IF(Transactions!B480="Expense",Transactions!C480,""),"")</f>
        <v/>
      </c>
      <c r="AC478" s="11" t="str">
        <f>IFERROR(IF(Transactions!B480="Expense",Transactions!D480,""),"")</f>
        <v/>
      </c>
      <c r="AD478" s="11" t="str">
        <f>IFERROR(IF(Transactions!B480="Expense",Transactions!E480,""),"")</f>
        <v/>
      </c>
    </row>
    <row r="479" ht="15.75" customHeight="1">
      <c r="Z479" s="11" t="str">
        <f>IFERROR(IF(Transactions!B481="Expense",Transactions!E481+ROW()/10000000,""),"")</f>
        <v/>
      </c>
      <c r="AA479" s="31" t="str">
        <f>IFERROR(IF(Transactions!B481="Expense",Transactions!A481,""),"")</f>
        <v/>
      </c>
      <c r="AB479" s="11" t="str">
        <f>IFERROR(IF(Transactions!B481="Expense",Transactions!C481,""),"")</f>
        <v/>
      </c>
      <c r="AC479" s="11" t="str">
        <f>IFERROR(IF(Transactions!B481="Expense",Transactions!D481,""),"")</f>
        <v/>
      </c>
      <c r="AD479" s="11" t="str">
        <f>IFERROR(IF(Transactions!B481="Expense",Transactions!E481,""),"")</f>
        <v/>
      </c>
    </row>
    <row r="480" ht="15.75" customHeight="1">
      <c r="Z480" s="11" t="str">
        <f>IFERROR(IF(Transactions!B482="Expense",Transactions!E482+ROW()/10000000,""),"")</f>
        <v/>
      </c>
      <c r="AA480" s="31" t="str">
        <f>IFERROR(IF(Transactions!B482="Expense",Transactions!A482,""),"")</f>
        <v/>
      </c>
      <c r="AB480" s="11" t="str">
        <f>IFERROR(IF(Transactions!B482="Expense",Transactions!C482,""),"")</f>
        <v/>
      </c>
      <c r="AC480" s="11" t="str">
        <f>IFERROR(IF(Transactions!B482="Expense",Transactions!D482,""),"")</f>
        <v/>
      </c>
      <c r="AD480" s="11" t="str">
        <f>IFERROR(IF(Transactions!B482="Expense",Transactions!E482,""),"")</f>
        <v/>
      </c>
    </row>
    <row r="481" ht="15.75" customHeight="1">
      <c r="Z481" s="11" t="str">
        <f>IFERROR(IF(Transactions!B483="Expense",Transactions!E483+ROW()/10000000,""),"")</f>
        <v/>
      </c>
      <c r="AA481" s="31" t="str">
        <f>IFERROR(IF(Transactions!B483="Expense",Transactions!A483,""),"")</f>
        <v/>
      </c>
      <c r="AB481" s="11" t="str">
        <f>IFERROR(IF(Transactions!B483="Expense",Transactions!C483,""),"")</f>
        <v/>
      </c>
      <c r="AC481" s="11" t="str">
        <f>IFERROR(IF(Transactions!B483="Expense",Transactions!D483,""),"")</f>
        <v/>
      </c>
      <c r="AD481" s="11" t="str">
        <f>IFERROR(IF(Transactions!B483="Expense",Transactions!E483,""),"")</f>
        <v/>
      </c>
    </row>
    <row r="482" ht="15.75" customHeight="1">
      <c r="Z482" s="11" t="str">
        <f>IFERROR(IF(Transactions!B484="Expense",Transactions!E484+ROW()/10000000,""),"")</f>
        <v/>
      </c>
      <c r="AA482" s="31" t="str">
        <f>IFERROR(IF(Transactions!B484="Expense",Transactions!A484,""),"")</f>
        <v/>
      </c>
      <c r="AB482" s="11" t="str">
        <f>IFERROR(IF(Transactions!B484="Expense",Transactions!C484,""),"")</f>
        <v/>
      </c>
      <c r="AC482" s="11" t="str">
        <f>IFERROR(IF(Transactions!B484="Expense",Transactions!D484,""),"")</f>
        <v/>
      </c>
      <c r="AD482" s="11" t="str">
        <f>IFERROR(IF(Transactions!B484="Expense",Transactions!E484,""),"")</f>
        <v/>
      </c>
    </row>
    <row r="483" ht="15.75" customHeight="1">
      <c r="Z483" s="11" t="str">
        <f>IFERROR(IF(Transactions!B485="Expense",Transactions!E485+ROW()/10000000,""),"")</f>
        <v/>
      </c>
      <c r="AA483" s="31" t="str">
        <f>IFERROR(IF(Transactions!B485="Expense",Transactions!A485,""),"")</f>
        <v/>
      </c>
      <c r="AB483" s="11" t="str">
        <f>IFERROR(IF(Transactions!B485="Expense",Transactions!C485,""),"")</f>
        <v/>
      </c>
      <c r="AC483" s="11" t="str">
        <f>IFERROR(IF(Transactions!B485="Expense",Transactions!D485,""),"")</f>
        <v/>
      </c>
      <c r="AD483" s="11" t="str">
        <f>IFERROR(IF(Transactions!B485="Expense",Transactions!E485,""),"")</f>
        <v/>
      </c>
    </row>
    <row r="484" ht="15.75" customHeight="1">
      <c r="Z484" s="11" t="str">
        <f>IFERROR(IF(Transactions!B486="Expense",Transactions!E486+ROW()/10000000,""),"")</f>
        <v/>
      </c>
      <c r="AA484" s="31" t="str">
        <f>IFERROR(IF(Transactions!B486="Expense",Transactions!A486,""),"")</f>
        <v/>
      </c>
      <c r="AB484" s="11" t="str">
        <f>IFERROR(IF(Transactions!B486="Expense",Transactions!C486,""),"")</f>
        <v/>
      </c>
      <c r="AC484" s="11" t="str">
        <f>IFERROR(IF(Transactions!B486="Expense",Transactions!D486,""),"")</f>
        <v/>
      </c>
      <c r="AD484" s="11" t="str">
        <f>IFERROR(IF(Transactions!B486="Expense",Transactions!E486,""),"")</f>
        <v/>
      </c>
    </row>
    <row r="485" ht="15.75" customHeight="1">
      <c r="Z485" s="11" t="str">
        <f>IFERROR(IF(Transactions!B487="Expense",Transactions!E487+ROW()/10000000,""),"")</f>
        <v/>
      </c>
      <c r="AA485" s="31" t="str">
        <f>IFERROR(IF(Transactions!B487="Expense",Transactions!A487,""),"")</f>
        <v/>
      </c>
      <c r="AB485" s="11" t="str">
        <f>IFERROR(IF(Transactions!B487="Expense",Transactions!C487,""),"")</f>
        <v/>
      </c>
      <c r="AC485" s="11" t="str">
        <f>IFERROR(IF(Transactions!B487="Expense",Transactions!D487,""),"")</f>
        <v/>
      </c>
      <c r="AD485" s="11" t="str">
        <f>IFERROR(IF(Transactions!B487="Expense",Transactions!E487,""),"")</f>
        <v/>
      </c>
    </row>
    <row r="486" ht="15.75" customHeight="1">
      <c r="Z486" s="11" t="str">
        <f>IFERROR(IF(Transactions!B488="Expense",Transactions!E488+ROW()/10000000,""),"")</f>
        <v/>
      </c>
      <c r="AA486" s="31" t="str">
        <f>IFERROR(IF(Transactions!B488="Expense",Transactions!A488,""),"")</f>
        <v/>
      </c>
      <c r="AB486" s="11" t="str">
        <f>IFERROR(IF(Transactions!B488="Expense",Transactions!C488,""),"")</f>
        <v/>
      </c>
      <c r="AC486" s="11" t="str">
        <f>IFERROR(IF(Transactions!B488="Expense",Transactions!D488,""),"")</f>
        <v/>
      </c>
      <c r="AD486" s="11" t="str">
        <f>IFERROR(IF(Transactions!B488="Expense",Transactions!E488,""),"")</f>
        <v/>
      </c>
    </row>
    <row r="487" ht="15.75" customHeight="1">
      <c r="Z487" s="11" t="str">
        <f>IFERROR(IF(Transactions!B489="Expense",Transactions!E489+ROW()/10000000,""),"")</f>
        <v/>
      </c>
      <c r="AA487" s="31" t="str">
        <f>IFERROR(IF(Transactions!B489="Expense",Transactions!A489,""),"")</f>
        <v/>
      </c>
      <c r="AB487" s="11" t="str">
        <f>IFERROR(IF(Transactions!B489="Expense",Transactions!C489,""),"")</f>
        <v/>
      </c>
      <c r="AC487" s="11" t="str">
        <f>IFERROR(IF(Transactions!B489="Expense",Transactions!D489,""),"")</f>
        <v/>
      </c>
      <c r="AD487" s="11" t="str">
        <f>IFERROR(IF(Transactions!B489="Expense",Transactions!E489,""),"")</f>
        <v/>
      </c>
    </row>
    <row r="488" ht="15.75" customHeight="1">
      <c r="Z488" s="11" t="str">
        <f>IFERROR(IF(Transactions!B490="Expense",Transactions!E490+ROW()/10000000,""),"")</f>
        <v/>
      </c>
      <c r="AA488" s="31" t="str">
        <f>IFERROR(IF(Transactions!B490="Expense",Transactions!A490,""),"")</f>
        <v/>
      </c>
      <c r="AB488" s="11" t="str">
        <f>IFERROR(IF(Transactions!B490="Expense",Transactions!C490,""),"")</f>
        <v/>
      </c>
      <c r="AC488" s="11" t="str">
        <f>IFERROR(IF(Transactions!B490="Expense",Transactions!D490,""),"")</f>
        <v/>
      </c>
      <c r="AD488" s="11" t="str">
        <f>IFERROR(IF(Transactions!B490="Expense",Transactions!E490,""),"")</f>
        <v/>
      </c>
    </row>
    <row r="489" ht="15.75" customHeight="1">
      <c r="Z489" s="11" t="str">
        <f>IFERROR(IF(Transactions!B491="Expense",Transactions!E491+ROW()/10000000,""),"")</f>
        <v/>
      </c>
      <c r="AA489" s="31" t="str">
        <f>IFERROR(IF(Transactions!B491="Expense",Transactions!A491,""),"")</f>
        <v/>
      </c>
      <c r="AB489" s="11" t="str">
        <f>IFERROR(IF(Transactions!B491="Expense",Transactions!C491,""),"")</f>
        <v/>
      </c>
      <c r="AC489" s="11" t="str">
        <f>IFERROR(IF(Transactions!B491="Expense",Transactions!D491,""),"")</f>
        <v/>
      </c>
      <c r="AD489" s="11" t="str">
        <f>IFERROR(IF(Transactions!B491="Expense",Transactions!E491,""),"")</f>
        <v/>
      </c>
    </row>
    <row r="490" ht="15.75" customHeight="1">
      <c r="Z490" s="11" t="str">
        <f>IFERROR(IF(Transactions!B492="Expense",Transactions!E492+ROW()/10000000,""),"")</f>
        <v/>
      </c>
      <c r="AA490" s="31" t="str">
        <f>IFERROR(IF(Transactions!B492="Expense",Transactions!A492,""),"")</f>
        <v/>
      </c>
      <c r="AB490" s="11" t="str">
        <f>IFERROR(IF(Transactions!B492="Expense",Transactions!C492,""),"")</f>
        <v/>
      </c>
      <c r="AC490" s="11" t="str">
        <f>IFERROR(IF(Transactions!B492="Expense",Transactions!D492,""),"")</f>
        <v/>
      </c>
      <c r="AD490" s="11" t="str">
        <f>IFERROR(IF(Transactions!B492="Expense",Transactions!E492,""),"")</f>
        <v/>
      </c>
    </row>
    <row r="491" ht="15.75" customHeight="1">
      <c r="Z491" s="11" t="str">
        <f>IFERROR(IF(Transactions!B493="Expense",Transactions!E493+ROW()/10000000,""),"")</f>
        <v/>
      </c>
      <c r="AA491" s="31" t="str">
        <f>IFERROR(IF(Transactions!B493="Expense",Transactions!A493,""),"")</f>
        <v/>
      </c>
      <c r="AB491" s="11" t="str">
        <f>IFERROR(IF(Transactions!B493="Expense",Transactions!C493,""),"")</f>
        <v/>
      </c>
      <c r="AC491" s="11" t="str">
        <f>IFERROR(IF(Transactions!B493="Expense",Transactions!D493,""),"")</f>
        <v/>
      </c>
      <c r="AD491" s="11" t="str">
        <f>IFERROR(IF(Transactions!B493="Expense",Transactions!E493,""),"")</f>
        <v/>
      </c>
    </row>
    <row r="492" ht="15.75" customHeight="1">
      <c r="Z492" s="11" t="str">
        <f>IFERROR(IF(Transactions!B494="Expense",Transactions!E494+ROW()/10000000,""),"")</f>
        <v/>
      </c>
      <c r="AA492" s="31" t="str">
        <f>IFERROR(IF(Transactions!B494="Expense",Transactions!A494,""),"")</f>
        <v/>
      </c>
      <c r="AB492" s="11" t="str">
        <f>IFERROR(IF(Transactions!B494="Expense",Transactions!C494,""),"")</f>
        <v/>
      </c>
      <c r="AC492" s="11" t="str">
        <f>IFERROR(IF(Transactions!B494="Expense",Transactions!D494,""),"")</f>
        <v/>
      </c>
      <c r="AD492" s="11" t="str">
        <f>IFERROR(IF(Transactions!B494="Expense",Transactions!E494,""),"")</f>
        <v/>
      </c>
    </row>
    <row r="493" ht="15.75" customHeight="1">
      <c r="Z493" s="11" t="str">
        <f>IFERROR(IF(Transactions!B495="Expense",Transactions!E495+ROW()/10000000,""),"")</f>
        <v/>
      </c>
      <c r="AA493" s="31" t="str">
        <f>IFERROR(IF(Transactions!B495="Expense",Transactions!A495,""),"")</f>
        <v/>
      </c>
      <c r="AB493" s="11" t="str">
        <f>IFERROR(IF(Transactions!B495="Expense",Transactions!C495,""),"")</f>
        <v/>
      </c>
      <c r="AC493" s="11" t="str">
        <f>IFERROR(IF(Transactions!B495="Expense",Transactions!D495,""),"")</f>
        <v/>
      </c>
      <c r="AD493" s="11" t="str">
        <f>IFERROR(IF(Transactions!B495="Expense",Transactions!E495,""),"")</f>
        <v/>
      </c>
    </row>
    <row r="494" ht="15.75" customHeight="1">
      <c r="Z494" s="11" t="str">
        <f>IFERROR(IF(Transactions!B496="Expense",Transactions!E496+ROW()/10000000,""),"")</f>
        <v/>
      </c>
      <c r="AA494" s="31" t="str">
        <f>IFERROR(IF(Transactions!B496="Expense",Transactions!A496,""),"")</f>
        <v/>
      </c>
      <c r="AB494" s="11" t="str">
        <f>IFERROR(IF(Transactions!B496="Expense",Transactions!C496,""),"")</f>
        <v/>
      </c>
      <c r="AC494" s="11" t="str">
        <f>IFERROR(IF(Transactions!B496="Expense",Transactions!D496,""),"")</f>
        <v/>
      </c>
      <c r="AD494" s="11" t="str">
        <f>IFERROR(IF(Transactions!B496="Expense",Transactions!E496,""),"")</f>
        <v/>
      </c>
    </row>
    <row r="495" ht="15.75" customHeight="1">
      <c r="Z495" s="11" t="str">
        <f>IFERROR(IF(Transactions!B497="Expense",Transactions!E497+ROW()/10000000,""),"")</f>
        <v/>
      </c>
      <c r="AA495" s="31" t="str">
        <f>IFERROR(IF(Transactions!B497="Expense",Transactions!A497,""),"")</f>
        <v/>
      </c>
      <c r="AB495" s="11" t="str">
        <f>IFERROR(IF(Transactions!B497="Expense",Transactions!C497,""),"")</f>
        <v/>
      </c>
      <c r="AC495" s="11" t="str">
        <f>IFERROR(IF(Transactions!B497="Expense",Transactions!D497,""),"")</f>
        <v/>
      </c>
      <c r="AD495" s="11" t="str">
        <f>IFERROR(IF(Transactions!B497="Expense",Transactions!E497,""),"")</f>
        <v/>
      </c>
    </row>
    <row r="496" ht="15.75" customHeight="1">
      <c r="Z496" s="11" t="str">
        <f>IFERROR(IF(Transactions!B498="Expense",Transactions!E498+ROW()/10000000,""),"")</f>
        <v/>
      </c>
      <c r="AA496" s="31" t="str">
        <f>IFERROR(IF(Transactions!B498="Expense",Transactions!A498,""),"")</f>
        <v/>
      </c>
      <c r="AB496" s="11" t="str">
        <f>IFERROR(IF(Transactions!B498="Expense",Transactions!C498,""),"")</f>
        <v/>
      </c>
      <c r="AC496" s="11" t="str">
        <f>IFERROR(IF(Transactions!B498="Expense",Transactions!D498,""),"")</f>
        <v/>
      </c>
      <c r="AD496" s="11" t="str">
        <f>IFERROR(IF(Transactions!B498="Expense",Transactions!E498,""),"")</f>
        <v/>
      </c>
    </row>
    <row r="497" ht="15.75" customHeight="1">
      <c r="Z497" s="11" t="str">
        <f>IFERROR(IF(Transactions!B499="Expense",Transactions!E499+ROW()/10000000,""),"")</f>
        <v/>
      </c>
      <c r="AA497" s="31" t="str">
        <f>IFERROR(IF(Transactions!B499="Expense",Transactions!A499,""),"")</f>
        <v/>
      </c>
      <c r="AB497" s="11" t="str">
        <f>IFERROR(IF(Transactions!B499="Expense",Transactions!C499,""),"")</f>
        <v/>
      </c>
      <c r="AC497" s="11" t="str">
        <f>IFERROR(IF(Transactions!B499="Expense",Transactions!D499,""),"")</f>
        <v/>
      </c>
      <c r="AD497" s="11" t="str">
        <f>IFERROR(IF(Transactions!B499="Expense",Transactions!E499,""),"")</f>
        <v/>
      </c>
    </row>
    <row r="498" ht="15.75" customHeight="1">
      <c r="Z498" s="11" t="str">
        <f>IFERROR(IF(Transactions!B500="Expense",Transactions!E500+ROW()/10000000,""),"")</f>
        <v/>
      </c>
      <c r="AA498" s="31" t="str">
        <f>IFERROR(IF(Transactions!B500="Expense",Transactions!A500,""),"")</f>
        <v/>
      </c>
      <c r="AB498" s="11" t="str">
        <f>IFERROR(IF(Transactions!B500="Expense",Transactions!C500,""),"")</f>
        <v/>
      </c>
      <c r="AC498" s="11" t="str">
        <f>IFERROR(IF(Transactions!B500="Expense",Transactions!D500,""),"")</f>
        <v/>
      </c>
      <c r="AD498" s="11" t="str">
        <f>IFERROR(IF(Transactions!B500="Expense",Transactions!E500,""),"")</f>
        <v/>
      </c>
    </row>
    <row r="499" ht="15.75" customHeight="1">
      <c r="Z499" s="11" t="str">
        <f>IFERROR(IF(Transactions!B501="Expense",Transactions!E501+ROW()/10000000,""),"")</f>
        <v/>
      </c>
      <c r="AA499" s="31" t="str">
        <f>IFERROR(IF(Transactions!B501="Expense",Transactions!A501,""),"")</f>
        <v/>
      </c>
      <c r="AB499" s="11" t="str">
        <f>IFERROR(IF(Transactions!B501="Expense",Transactions!C501,""),"")</f>
        <v/>
      </c>
      <c r="AC499" s="11" t="str">
        <f>IFERROR(IF(Transactions!B501="Expense",Transactions!D501,""),"")</f>
        <v/>
      </c>
      <c r="AD499" s="11" t="str">
        <f>IFERROR(IF(Transactions!B501="Expense",Transactions!E501,""),"")</f>
        <v/>
      </c>
    </row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B57:G57"/>
    <mergeCell ref="B63:G63"/>
    <mergeCell ref="B2:G2"/>
    <mergeCell ref="B3:G3"/>
    <mergeCell ref="B5:G5"/>
    <mergeCell ref="B14:G14"/>
    <mergeCell ref="B28:G28"/>
    <mergeCell ref="B41:G41"/>
    <mergeCell ref="B48:G48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2026-04-19T14:43:52Z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